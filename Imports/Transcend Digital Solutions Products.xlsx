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9600" firstSheet="6" activeTab="6"/>
  </bookViews>
  <sheets>
    <sheet name="Article Master" sheetId="3" state="hidden" r:id="rId1"/>
    <sheet name="Sheet1" sheetId="4" state="hidden" r:id="rId2"/>
    <sheet name="Auto PO" sheetId="6" state="hidden" r:id="rId3"/>
    <sheet name="PIVOT" sheetId="7" state="hidden" r:id="rId4"/>
    <sheet name="Auto PO." sheetId="9" state="hidden" r:id="rId5"/>
    <sheet name="Pivot." sheetId="8" state="hidden" r:id="rId6"/>
    <sheet name="PT ABC" sheetId="2" r:id="rId7"/>
    <sheet name="Sheet2" sheetId="5" state="hidden" r:id="rId8"/>
  </sheets>
  <definedNames>
    <definedName name="_xlnm._FilterDatabase" localSheetId="6" hidden="1">'PT ABC'!$A$8:$R$44</definedName>
    <definedName name="_xlnm._FilterDatabase" localSheetId="0" hidden="1">'Article Master'!$A$1:$H$200</definedName>
    <definedName name="_xlnm._FilterDatabase" localSheetId="2" hidden="1">'Auto PO'!$A$1:$AA$1</definedName>
    <definedName name="Dynamic_Filter">OFFSET('PT ABC'!#REF!,,,COUNTIF('PT ABC'!#REF!,"?*"),)</definedName>
    <definedName name="validation_list">OFFSET('PT ABC'!#REF!,,,COUNTIF('PT ABC'!#REF!,"?*"))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<sst xmlns="http://schemas.openxmlformats.org/spreadsheetml/2006/main" count="1133" uniqueCount="315">
  <si>
    <t>S No.</t>
  </si>
  <si>
    <t>Details</t>
  </si>
  <si>
    <t>PARTICULAR</t>
  </si>
  <si>
    <t>Article</t>
  </si>
  <si>
    <t>GST %</t>
  </si>
  <si>
    <t>Rate</t>
  </si>
  <si>
    <t>Remarks</t>
  </si>
  <si>
    <t>Changes</t>
  </si>
  <si>
    <t>Input Field</t>
  </si>
  <si>
    <t>Acrylic</t>
  </si>
  <si>
    <t>3MM CLEAR ACRYLIC WITH LASER CUT</t>
  </si>
  <si>
    <t>5mm Acrylic Sheet with Laser cutting</t>
  </si>
  <si>
    <t>Acrylic Brand Plate 1200mm X 400mm</t>
  </si>
  <si>
    <t>Acrylic Brand Plate 450mmX150MM</t>
  </si>
  <si>
    <t>Acrylic Brand Plate 750mm X 250mm</t>
  </si>
  <si>
    <t>Acrylic Brand Plate 900mm X 300mm</t>
  </si>
  <si>
    <t>Adhesive</t>
  </si>
  <si>
    <t>Acrabond 20ml</t>
  </si>
  <si>
    <t>Canvas</t>
  </si>
  <si>
    <t>Eco Solvent Print On Canvas</t>
  </si>
  <si>
    <t>Latex</t>
  </si>
  <si>
    <t>Latex Print on Canvas</t>
  </si>
  <si>
    <t>UV Print On Canvas</t>
  </si>
  <si>
    <t>Carpet</t>
  </si>
  <si>
    <t>Floor Carpet</t>
  </si>
  <si>
    <t>Vinyl</t>
  </si>
  <si>
    <t xml:space="preserve">Clear Vinyl Printing                    </t>
  </si>
  <si>
    <t>Fabric</t>
  </si>
  <si>
    <t>FABRIC PRINT WITH SILICON TAPE &amp; STITCHI</t>
  </si>
  <si>
    <t>Flex</t>
  </si>
  <si>
    <t>Star Flex Eco solvent Print</t>
  </si>
  <si>
    <t>Plain Flex</t>
  </si>
  <si>
    <t>Backlit Flex Printing</t>
  </si>
  <si>
    <t>BACKLIT FLEX PRINT-16 OZ        </t>
  </si>
  <si>
    <t>Frontlit Flex Printing</t>
  </si>
  <si>
    <t>Frontlit Flex Print On Branded Media</t>
  </si>
  <si>
    <t>PVC Flex</t>
  </si>
  <si>
    <t>Frosted Vinyl Cutting</t>
  </si>
  <si>
    <t>3M Frosted Vinyl</t>
  </si>
  <si>
    <t>Lamination</t>
  </si>
  <si>
    <t>Light/Festive</t>
  </si>
  <si>
    <t>TUBELIGHT,CHOWK &amp; WIRING</t>
  </si>
  <si>
    <t>LIT Brand Plate with Vinyl</t>
  </si>
  <si>
    <t>LIT Brand Plate with Duco Paint</t>
  </si>
  <si>
    <t>Metal</t>
  </si>
  <si>
    <t xml:space="preserve">J Hook </t>
  </si>
  <si>
    <t>S Hook</t>
  </si>
  <si>
    <t>Digital</t>
  </si>
  <si>
    <t>A3 - Danglers - Digital</t>
  </si>
  <si>
    <t>NA</t>
  </si>
  <si>
    <t>A3 - Signage - Digital</t>
  </si>
  <si>
    <t>A4 - Signage - Digital</t>
  </si>
  <si>
    <t>A5 - Signage - Digital</t>
  </si>
  <si>
    <t>Shelf Talker 6" X 8" - Digital</t>
  </si>
  <si>
    <t>Wobbler Printing - Digital</t>
  </si>
  <si>
    <t>A2 - SIGNAGE - DIGITAL 300GSM</t>
  </si>
  <si>
    <t>Offset</t>
  </si>
  <si>
    <t>A3 - Danglers - Offset</t>
  </si>
  <si>
    <t>A4 - Signage - Offset</t>
  </si>
  <si>
    <t>A5 - Signage - Offset</t>
  </si>
  <si>
    <t xml:space="preserve">Shelf Talker 2" X 5.5" - Offset           </t>
  </si>
  <si>
    <t>Shelf Talker 6" X 8" - Offset</t>
  </si>
  <si>
    <t>Blank Signage Paper - A4</t>
  </si>
  <si>
    <t>Blank Signage Paper - A5</t>
  </si>
  <si>
    <t>A3 Sticker Paper</t>
  </si>
  <si>
    <t xml:space="preserve">A3 Generic Signage Offset </t>
  </si>
  <si>
    <t xml:space="preserve">A4 Generic Signage Offset </t>
  </si>
  <si>
    <t xml:space="preserve">A5 Generic Signage Offset </t>
  </si>
  <si>
    <t>Pasting</t>
  </si>
  <si>
    <t>Vinyl Pasting</t>
  </si>
  <si>
    <t>Vinyl Pasting Outstation</t>
  </si>
  <si>
    <t>Façade Vinyl Pasting</t>
  </si>
  <si>
    <t>Sunboard Pasting</t>
  </si>
  <si>
    <t>Sunboard Cutting Pasting &amp; Fitting Chgs</t>
  </si>
  <si>
    <t>Flex Mounting &amp; Fitting Charges</t>
  </si>
  <si>
    <t>Eco Solvent</t>
  </si>
  <si>
    <t>2 side Ecosolvent Print on 3mm Sunboard</t>
  </si>
  <si>
    <t>2 side Ecosolvent Print on 5mm Sunboard</t>
  </si>
  <si>
    <t>Eco Sol Translite Vinyl Print With Lam</t>
  </si>
  <si>
    <t>Eco Solvent Backlit Print With Lam</t>
  </si>
  <si>
    <t xml:space="preserve">Eco Solvent Backlit Print With Lam      </t>
  </si>
  <si>
    <t>Eco Solvent Greyback Vinyl Print with La</t>
  </si>
  <si>
    <t>Eco Solvent Vinyl Print with lam 3mm Sun</t>
  </si>
  <si>
    <t>Eco Solvent Vinyl Print with lam 5mm Sun</t>
  </si>
  <si>
    <t>Eco Solvent Vinyl Printing</t>
  </si>
  <si>
    <t>Eco Solvent Vinyl Printing With Laminati</t>
  </si>
  <si>
    <t>Eco Solvent Greyback Vinyl Print</t>
  </si>
  <si>
    <t>Eco Solvent Black Back Vinyl Print</t>
  </si>
  <si>
    <t>Eco Solvent Black Back Vinyl Print With</t>
  </si>
  <si>
    <t>Eco Solvent Translite Vinyl Print</t>
  </si>
  <si>
    <t>Grey back Flex Eco solvent Print</t>
  </si>
  <si>
    <t>2 Side Latex Print on 3mm Sunboard</t>
  </si>
  <si>
    <t>2 Side Latex Print on 5mm Sunboard</t>
  </si>
  <si>
    <t>LATEX Backlit Vinyl Print With Lam</t>
  </si>
  <si>
    <t xml:space="preserve">Latex Gray Back with Lamination </t>
  </si>
  <si>
    <t>Latex Gray Back with Lam+3mm SB</t>
  </si>
  <si>
    <t>Latex Gray Back with Lam+5mm SB</t>
  </si>
  <si>
    <t>Latex Translite Vinyl Print With Lam</t>
  </si>
  <si>
    <t>Latex Vinyl Print With Lam+3mm SB</t>
  </si>
  <si>
    <t>Latex Vinyl Print With Lam+5mm SB</t>
  </si>
  <si>
    <t>Latex Vinyl Printing</t>
  </si>
  <si>
    <t>Latex Vinyl Printing without Lam</t>
  </si>
  <si>
    <t>LatexVinyl Print with Matt Lamination</t>
  </si>
  <si>
    <t>Latex Translite Print</t>
  </si>
  <si>
    <t>Latex Black Back Vinyl Print</t>
  </si>
  <si>
    <t>Latex Black Back Vinyl Print With Lam</t>
  </si>
  <si>
    <t>Latex Grey Back Vinyl</t>
  </si>
  <si>
    <t>LATEX STAR FRONTLIT BLACK BACK FLEX</t>
  </si>
  <si>
    <t>Solvent</t>
  </si>
  <si>
    <t>2 Side Solvent Print on 3mm Sunboard</t>
  </si>
  <si>
    <t>2 Side Solvent Print on 5mm Sunboard</t>
  </si>
  <si>
    <t>Solvent Greyback Vinyl Print with Lam</t>
  </si>
  <si>
    <t>Solvent Greyback Vinyl Print with Lam+3m</t>
  </si>
  <si>
    <t>Solvent Greyback Vinyl Print with Lam+5m</t>
  </si>
  <si>
    <t>Solvent Vinyl Print with 3mm Sunboard</t>
  </si>
  <si>
    <t>Solvent Vinyl Print with 5mm Sunboard</t>
  </si>
  <si>
    <t>Solvent Vinyl Print With Lam+3mm SB</t>
  </si>
  <si>
    <t>Solvent Vinyl Printing</t>
  </si>
  <si>
    <t>Solvent Vinyl Printing With Lamination</t>
  </si>
  <si>
    <t>Solvent Vinyl On Clear Film</t>
  </si>
  <si>
    <t>Solvent Black Back Vinyl Print</t>
  </si>
  <si>
    <t>Solvent Black Back Vinyl Print With Lam</t>
  </si>
  <si>
    <t>SOLVENT GREYBACK VINYL PRINT</t>
  </si>
  <si>
    <t>Prop</t>
  </si>
  <si>
    <t>Wooden Easel Standee</t>
  </si>
  <si>
    <t>Sunboard</t>
  </si>
  <si>
    <t>Shelf Talker 22" X 7"+3mm Black SB</t>
  </si>
  <si>
    <t>Sun Board 10mm</t>
  </si>
  <si>
    <t>Sun Board 2mm</t>
  </si>
  <si>
    <t>Sun Board 3 mm</t>
  </si>
  <si>
    <t>Sun Board 5 mm</t>
  </si>
  <si>
    <t>Sun Board 6mm</t>
  </si>
  <si>
    <t>Black Sun Board 3mm</t>
  </si>
  <si>
    <t>A2 NTR Digital  Synthetic Print</t>
  </si>
  <si>
    <t>Adhesive Coated Tape</t>
  </si>
  <si>
    <t>BLACK VINYL</t>
  </si>
  <si>
    <t>GOLDEN BRUSH VINYL</t>
  </si>
  <si>
    <t>Grey Back Vinyl</t>
  </si>
  <si>
    <t>Plain Frosted Vinyl</t>
  </si>
  <si>
    <t>Plain Vinyl</t>
  </si>
  <si>
    <t>Vinyl with vinyl cut</t>
  </si>
  <si>
    <t>1.2mm Rope Wire</t>
  </si>
  <si>
    <t>250W LED Drivers</t>
  </si>
  <si>
    <t>3m Solvent Matt Vinyl  </t>
  </si>
  <si>
    <t>A3 - Signage - Offset</t>
  </si>
  <si>
    <t>A3 CALENDAR</t>
  </si>
  <si>
    <t>Acrylic Props</t>
  </si>
  <si>
    <t xml:space="preserve">Acrylic Tags </t>
  </si>
  <si>
    <t>Acrylic Tags Browsers</t>
  </si>
  <si>
    <t>Aluminium Profile Fabric LIT Box</t>
  </si>
  <si>
    <t>Arch Gate MS HB</t>
  </si>
  <si>
    <t>Arch Gate MS LB</t>
  </si>
  <si>
    <t>Arch Gate MS MB</t>
  </si>
  <si>
    <t>Award</t>
  </si>
  <si>
    <t>Award Nomination</t>
  </si>
  <si>
    <t>Blouse</t>
  </si>
  <si>
    <t>BLOUSE</t>
  </si>
  <si>
    <t>wallpaper</t>
  </si>
  <si>
    <t>Candies Wallpaper  </t>
  </si>
  <si>
    <t>CASH COUNTER LOGO</t>
  </si>
  <si>
    <t>Content creation</t>
  </si>
  <si>
    <t>CONTENT CREATION</t>
  </si>
  <si>
    <t>Creamic pot with Duco Paint + Artifical Plant (12 x 12)</t>
  </si>
  <si>
    <t>Creamic pot with Duco Paint + Artifical Plant (5.5 x 5.5)</t>
  </si>
  <si>
    <t>Creamic pot with Duco Paint + Artifical Plant (7.5 x7.5)</t>
  </si>
  <si>
    <t>Dangler 3F</t>
  </si>
  <si>
    <t>Dangler 4F</t>
  </si>
  <si>
    <t>Danglers 2.5F</t>
  </si>
  <si>
    <t>Danglers 2F</t>
  </si>
  <si>
    <t>Danglers 30X15 (Half Dangler)</t>
  </si>
  <si>
    <t>Facade AnimateLight</t>
  </si>
  <si>
    <t>Facade Contour Light</t>
  </si>
  <si>
    <t>Facade Festive Lights</t>
  </si>
  <si>
    <t>Fish Wire 100 meters</t>
  </si>
  <si>
    <t>GWP Stand BHB</t>
  </si>
  <si>
    <t>GWP Stand BLB</t>
  </si>
  <si>
    <t>GWP Stand SHB</t>
  </si>
  <si>
    <t>GWP Stand SLB</t>
  </si>
  <si>
    <t>High Quality LED</t>
  </si>
  <si>
    <t xml:space="preserve">HOLOGRAM DISPLAY42cm </t>
  </si>
  <si>
    <t>INSTAGRAMABLE SPOT</t>
  </si>
  <si>
    <t>Instore contour light</t>
  </si>
  <si>
    <t xml:space="preserve">Kyle Green Vinyl </t>
  </si>
  <si>
    <t>LATEX Backlit Vinyl Print Without Lam</t>
  </si>
  <si>
    <t xml:space="preserve">LED Driver </t>
  </si>
  <si>
    <t>LED Strip 5050-60LED-NVC</t>
  </si>
  <si>
    <t>LG RED VINYL</t>
  </si>
  <si>
    <t>LIT BRAND PLATE</t>
  </si>
  <si>
    <t>Lit Props</t>
  </si>
  <si>
    <t>Market Props</t>
  </si>
  <si>
    <t>Mehroon Vinyl</t>
  </si>
  <si>
    <t>Mesh Stambh</t>
  </si>
  <si>
    <t>Metel Props</t>
  </si>
  <si>
    <t>Mirchi Lights for Decorations</t>
  </si>
  <si>
    <t>MODULAR FIXTURE 4FT X 7FT</t>
  </si>
  <si>
    <t>MODULAR FIXTURE 4FT X 8FT</t>
  </si>
  <si>
    <t>MS Frame Standee Structure</t>
  </si>
  <si>
    <t>MS Frame Standee(Wrought Iron)</t>
  </si>
  <si>
    <t>MS Frame Structure</t>
  </si>
  <si>
    <t>Organza Fabric white Color</t>
  </si>
  <si>
    <t>Delivery</t>
  </si>
  <si>
    <t>Packing Charges</t>
  </si>
  <si>
    <t>Photography</t>
  </si>
  <si>
    <t>PHOTOGRAPHY FEE</t>
  </si>
  <si>
    <t xml:space="preserve">Polycarbonate Tags </t>
  </si>
  <si>
    <t>Props for Promotion</t>
  </si>
  <si>
    <t>Spa-Controller</t>
  </si>
  <si>
    <t>Spray Print</t>
  </si>
  <si>
    <t>STAMBH</t>
  </si>
  <si>
    <t>Store Directory</t>
  </si>
  <si>
    <t>Sunboard Props</t>
  </si>
  <si>
    <t>Sunboard Stambh</t>
  </si>
  <si>
    <t>T shirt</t>
  </si>
  <si>
    <t>T SHIRT</t>
  </si>
  <si>
    <t>Transport Charges</t>
  </si>
  <si>
    <t>UV PRINTED POLYESTER BACKLIT FABRIC</t>
  </si>
  <si>
    <t xml:space="preserve">VMRD Magazine </t>
  </si>
  <si>
    <t xml:space="preserve">Was Now TAG </t>
  </si>
  <si>
    <t>Wigs</t>
  </si>
  <si>
    <t>720001597 </t>
  </si>
  <si>
    <t>Window Props HB</t>
  </si>
  <si>
    <t>Window Props LB</t>
  </si>
  <si>
    <t>WINDOW PROPS MB</t>
  </si>
  <si>
    <t>Wobbler Printing - Offset</t>
  </si>
  <si>
    <t>Woode Henger</t>
  </si>
  <si>
    <t>Wooden Pot Stand with Wallnut Polish</t>
  </si>
  <si>
    <t>Wooden Props</t>
  </si>
  <si>
    <t>White Vinyl</t>
  </si>
  <si>
    <t>Unique Drop Down</t>
  </si>
  <si>
    <t>Dependent Drop Down</t>
  </si>
  <si>
    <t>Count</t>
  </si>
  <si>
    <t>Sr No.</t>
  </si>
  <si>
    <t>Doc. Type</t>
  </si>
  <si>
    <t>Vendor</t>
  </si>
  <si>
    <t>Purch.Org</t>
  </si>
  <si>
    <t>Purch.Group</t>
  </si>
  <si>
    <t>Site</t>
  </si>
  <si>
    <t>Short Text</t>
  </si>
  <si>
    <t>MC</t>
  </si>
  <si>
    <t>Item Cat</t>
  </si>
  <si>
    <t>Acct Assgt Cat</t>
  </si>
  <si>
    <t>GL Account</t>
  </si>
  <si>
    <t>Cost center</t>
  </si>
  <si>
    <t>Order Number</t>
  </si>
  <si>
    <t>Network</t>
  </si>
  <si>
    <t>Network Item</t>
  </si>
  <si>
    <t>Service No</t>
  </si>
  <si>
    <t>Service Qty</t>
  </si>
  <si>
    <t>Net Price</t>
  </si>
  <si>
    <t>Tax Code</t>
  </si>
  <si>
    <t>Article No</t>
  </si>
  <si>
    <t>PO Qty</t>
  </si>
  <si>
    <t>PO Net Price</t>
  </si>
  <si>
    <t>Purchase Requistion</t>
  </si>
  <si>
    <t>Purchase Requistion Item</t>
  </si>
  <si>
    <t>Campaign Code</t>
  </si>
  <si>
    <t>Season</t>
  </si>
  <si>
    <t>Campaign Name</t>
  </si>
  <si>
    <t>ZVMC</t>
  </si>
  <si>
    <t>OOTV2V12V</t>
  </si>
  <si>
    <t>F</t>
  </si>
  <si>
    <t>V0</t>
  </si>
  <si>
    <t>Values</t>
  </si>
  <si>
    <t>Sum of Total SQFT</t>
  </si>
  <si>
    <t>Sum of Amount</t>
  </si>
  <si>
    <t>Sum of Total</t>
  </si>
  <si>
    <t>FE21/OCT/WINW</t>
  </si>
  <si>
    <t>Festive</t>
  </si>
  <si>
    <t>FE21/OCT/WIN</t>
  </si>
  <si>
    <t>(blank)</t>
  </si>
  <si>
    <t>Grand Total</t>
  </si>
  <si>
    <t>Campaign</t>
  </si>
  <si>
    <t>ADVANCE WORK ORDER ESTIMATE</t>
  </si>
  <si>
    <t>From :- ABFRL (Pantaloons Division)</t>
  </si>
  <si>
    <t>To,</t>
  </si>
  <si>
    <t>Delivery at :-</t>
  </si>
  <si>
    <t>Within 15 days</t>
  </si>
  <si>
    <t>Payment at :-</t>
  </si>
  <si>
    <t>Within 30 days</t>
  </si>
  <si>
    <t>Vendor Name :-</t>
  </si>
  <si>
    <t>Transcend Digital Solutions</t>
  </si>
  <si>
    <t>Contact :-</t>
  </si>
  <si>
    <t>Store Name :-</t>
  </si>
  <si>
    <t>Vendor Address :-</t>
  </si>
  <si>
    <t>Store Address :-</t>
  </si>
  <si>
    <t>Date</t>
  </si>
  <si>
    <t>Vendor Code :-</t>
  </si>
  <si>
    <t>Site Code :-</t>
  </si>
  <si>
    <t>PO Number :-</t>
  </si>
  <si>
    <t>Order No :-</t>
  </si>
  <si>
    <t>Store VM Name :-</t>
  </si>
  <si>
    <t>AVM Name :-</t>
  </si>
  <si>
    <t>Shwetali khandelwal</t>
  </si>
  <si>
    <t>Contact Details :-</t>
  </si>
  <si>
    <t>Sl. No.</t>
  </si>
  <si>
    <t>Particulars</t>
  </si>
  <si>
    <t>Width (Inch)</t>
  </si>
  <si>
    <t>Height (Inch)</t>
  </si>
  <si>
    <t>Quantity</t>
  </si>
  <si>
    <t>Total SQFT</t>
  </si>
  <si>
    <t>Description</t>
  </si>
  <si>
    <t>Amount</t>
  </si>
  <si>
    <t>Tax</t>
  </si>
  <si>
    <t>Tax Amount</t>
  </si>
  <si>
    <t>Total</t>
  </si>
  <si>
    <t>Campaign
 Name</t>
  </si>
  <si>
    <t>GRAND TOTAL</t>
  </si>
  <si>
    <t>Pricing Note</t>
  </si>
  <si>
    <t>Header Note</t>
  </si>
  <si>
    <t>Term of Payment</t>
  </si>
  <si>
    <t>Term of Delivery</t>
  </si>
  <si>
    <t>Hard Coded</t>
  </si>
  <si>
    <t>Mandatory</t>
  </si>
  <si>
    <t>Hard coded</t>
  </si>
  <si>
    <t>Service MC to be hard coded for MC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</si>
</sst>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 * #,##0.00_ ;_ * \-#,##0.00_ ;_ * &quot;-&quot;??_ ;_ @_ "/>
    <numFmt numFmtId="177" formatCode="_(* #,##0.00_);_(* \(#,##0.00\);_(* &quot;-&quot;??_);_(@_)"/>
    <numFmt numFmtId="178" formatCode="dd/mm/yyyy;@"/>
    <numFmt numFmtId="179" formatCode="0.000"/>
    <numFmt numFmtId="180" formatCode="_ * #,##0.000_ ;_ * \-#,##0.000_ ;_ * &quot;-&quot;??_ ;_ @_ "/>
  </numFmts>
  <fonts count="34">
    <font>
      <sz val="11"/>
      <color theme="1"/>
      <name val="Calibri"/>
      <charset val="134"/>
      <scheme val="minor"/>
    </font>
    <font>
      <sz val="9"/>
      <color theme="1"/>
      <name val="Book Antiqua"/>
      <charset val="134"/>
    </font>
    <font>
      <b/>
      <sz val="9"/>
      <color rgb="FF000000"/>
      <name val="Book Antiqua"/>
      <charset val="134"/>
    </font>
    <font>
      <b/>
      <sz val="9"/>
      <color theme="1"/>
      <name val="Book Antiqua"/>
      <charset val="134"/>
    </font>
    <font>
      <sz val="11"/>
      <name val="Calibri"/>
      <charset val="134"/>
      <scheme val="minor"/>
    </font>
    <font>
      <sz val="12"/>
      <name val="Arial"/>
      <charset val="134"/>
    </font>
    <font>
      <b/>
      <u/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name val="Arial"/>
      <charset val="134"/>
    </font>
    <font>
      <sz val="9"/>
      <color theme="1"/>
      <name val="Calibri"/>
      <charset val="134"/>
      <scheme val="minor"/>
    </font>
    <font>
      <b/>
      <sz val="9"/>
      <color rgb="FF000000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1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9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11" borderId="15" applyNumberFormat="0" applyAlignment="0" applyProtection="0">
      <alignment vertical="center"/>
    </xf>
    <xf numFmtId="0" fontId="26" fillId="12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" fontId="1" fillId="0" borderId="1" xfId="0" applyNumberFormat="1" applyFont="1" applyBorder="1"/>
    <xf numFmtId="0" fontId="2" fillId="0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9" fontId="5" fillId="0" borderId="0" xfId="3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4" borderId="2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58" fontId="4" fillId="0" borderId="2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78" fontId="0" fillId="6" borderId="1" xfId="0" applyNumberFormat="1" applyFont="1" applyFill="1" applyBorder="1" applyAlignment="1">
      <alignment horizontal="center" vertical="center" wrapText="1"/>
    </xf>
    <xf numFmtId="178" fontId="0" fillId="6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1" fontId="0" fillId="7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2" fontId="0" fillId="6" borderId="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2" fontId="0" fillId="6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8" fillId="5" borderId="1" xfId="3" applyFont="1" applyFill="1" applyBorder="1" applyAlignment="1">
      <alignment horizontal="center" vertical="center" wrapText="1"/>
    </xf>
    <xf numFmtId="9" fontId="4" fillId="6" borderId="1" xfId="3" applyFont="1" applyFill="1" applyBorder="1" applyAlignment="1">
      <alignment horizontal="center"/>
    </xf>
    <xf numFmtId="2" fontId="8" fillId="8" borderId="1" xfId="0" applyNumberFormat="1" applyFont="1" applyFill="1" applyBorder="1" applyAlignment="1">
      <alignment horizontal="center" vertical="center"/>
    </xf>
    <xf numFmtId="9" fontId="8" fillId="8" borderId="1" xfId="3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79" fontId="0" fillId="0" borderId="0" xfId="0" applyNumberFormat="1"/>
    <xf numFmtId="2" fontId="0" fillId="0" borderId="0" xfId="0" applyNumberFormat="1"/>
    <xf numFmtId="0" fontId="10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hidden="1"/>
    </xf>
    <xf numFmtId="0" fontId="10" fillId="0" borderId="1" xfId="0" applyFont="1" applyBorder="1" applyAlignment="1">
      <alignment horizontal="left"/>
    </xf>
    <xf numFmtId="0" fontId="13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0" fillId="0" borderId="1" xfId="0" applyFont="1" applyBorder="1" applyProtection="1">
      <protection hidden="1"/>
    </xf>
    <xf numFmtId="0" fontId="10" fillId="0" borderId="1" xfId="0" applyFont="1" applyBorder="1"/>
    <xf numFmtId="0" fontId="10" fillId="0" borderId="1" xfId="0" applyNumberFormat="1" applyFont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179" fontId="10" fillId="0" borderId="1" xfId="0" applyNumberFormat="1" applyFont="1" applyBorder="1" applyAlignment="1" applyProtection="1">
      <alignment horizontal="center"/>
      <protection hidden="1"/>
    </xf>
    <xf numFmtId="0" fontId="11" fillId="0" borderId="1" xfId="0" applyFont="1" applyFill="1" applyBorder="1" applyAlignment="1">
      <alignment horizontal="center"/>
    </xf>
    <xf numFmtId="0" fontId="10" fillId="0" borderId="1" xfId="0" applyFont="1" applyBorder="1" applyAlignment="1" applyProtection="1">
      <alignment horizontal="left"/>
      <protection hidden="1"/>
    </xf>
    <xf numFmtId="180" fontId="0" fillId="0" borderId="0" xfId="0" applyNumberFormat="1"/>
    <xf numFmtId="176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1" xfId="0" applyFont="1" applyBorder="1" applyAlignment="1" applyProtection="1">
      <alignment horizontal="center"/>
      <protection hidden="1"/>
    </xf>
    <xf numFmtId="0" fontId="2" fillId="8" borderId="1" xfId="0" applyFont="1" applyFill="1" applyBorder="1" applyAlignment="1">
      <alignment horizontal="center"/>
    </xf>
    <xf numFmtId="0" fontId="0" fillId="0" borderId="1" xfId="0" applyBorder="1" applyProtection="1">
      <protection hidden="1"/>
    </xf>
    <xf numFmtId="180" fontId="1" fillId="0" borderId="1" xfId="1" applyNumberFormat="1" applyFont="1" applyBorder="1" applyAlignment="1" applyProtection="1">
      <alignment horizontal="center"/>
      <protection hidden="1"/>
    </xf>
    <xf numFmtId="0" fontId="1" fillId="0" borderId="1" xfId="0" applyFont="1" applyBorder="1" applyProtection="1">
      <protection hidden="1"/>
    </xf>
    <xf numFmtId="0" fontId="1" fillId="0" borderId="1" xfId="0" applyFont="1" applyBorder="1" applyAlignment="1" applyProtection="1">
      <alignment horizontal="left"/>
      <protection hidden="1"/>
    </xf>
    <xf numFmtId="0" fontId="0" fillId="3" borderId="0" xfId="0" applyFill="1"/>
    <xf numFmtId="0" fontId="4" fillId="0" borderId="0" xfId="0" applyFont="1" applyFill="1"/>
    <xf numFmtId="0" fontId="0" fillId="0" borderId="0" xfId="0" applyAlignment="1">
      <alignment horizontal="center"/>
    </xf>
    <xf numFmtId="0" fontId="8" fillId="0" borderId="10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8" fillId="0" borderId="9" xfId="0" applyFont="1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2" xfId="0" applyBorder="1"/>
    <xf numFmtId="0" fontId="0" fillId="0" borderId="2" xfId="0" applyFill="1" applyBorder="1"/>
    <xf numFmtId="9" fontId="4" fillId="0" borderId="1" xfId="0" applyNumberFormat="1" applyFont="1" applyFill="1" applyBorder="1" applyAlignment="1">
      <alignment horizontal="center"/>
    </xf>
    <xf numFmtId="0" fontId="4" fillId="0" borderId="2" xfId="0" applyFont="1" applyFill="1" applyBorder="1"/>
    <xf numFmtId="0" fontId="0" fillId="0" borderId="1" xfId="0" applyNumberFormat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dxfs count="13">
    <dxf>
      <numFmt numFmtId="176" formatCode="_ * #,##0.00_ ;_ * \-#,##0.00_ ;_ * &quot;-&quot;??_ ;_ @_ "/>
    </dxf>
    <dxf>
      <numFmt numFmtId="180" formatCode="_ * #,##0.000_ ;_ * \-#,##0.000_ ;_ * &quot;-&quot;??_ ;_ @_ "/>
    </dxf>
    <dxf>
      <numFmt numFmtId="176" formatCode="_ * #,##0.00_ ;_ * \-#,##0.00_ ;_ * &quot;-&quot;??_ ;_ @_ "/>
    </dxf>
    <dxf>
      <numFmt numFmtId="179" formatCode="0.000"/>
    </dxf>
    <dxf>
      <numFmt numFmtId="2" formatCode="0.00"/>
    </dxf>
    <dxf>
      <fill>
        <patternFill patternType="none"/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auto="1"/>
      </font>
      <numFmt numFmtId="9" formatCode="0%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269847</xdr:colOff>
      <xdr:row>2</xdr:row>
      <xdr:rowOff>69099</xdr:rowOff>
    </xdr:from>
    <xdr:to>
      <xdr:col>9</xdr:col>
      <xdr:colOff>2293566</xdr:colOff>
      <xdr:row>5</xdr:row>
      <xdr:rowOff>238025</xdr:rowOff>
    </xdr:to>
    <xdr:grpSp>
      <xdr:nvGrpSpPr>
        <xdr:cNvPr id="4" name="Group 3"/>
        <xdr:cNvGrpSpPr/>
      </xdr:nvGrpSpPr>
      <xdr:grpSpPr>
        <a:xfrm>
          <a:off x="8670290" y="515620"/>
          <a:ext cx="3316605" cy="824230"/>
          <a:chOff x="4116846" y="2905565"/>
          <a:chExt cx="4398391" cy="1046870"/>
        </a:xfrm>
      </xdr:grpSpPr>
      <xdr:pic>
        <xdr:nvPicPr>
          <xdr:cNvPr id="5" name="Picture 4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116846" y="2905565"/>
            <a:ext cx="1072732" cy="1046870"/>
          </a:xfrm>
          <a:prstGeom prst="rect">
            <a:avLst/>
          </a:prstGeom>
        </xdr:spPr>
      </xdr:pic>
      <xdr:pic>
        <xdr:nvPicPr>
          <xdr:cNvPr id="6" name="Picture 5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5189578" y="2905565"/>
            <a:ext cx="3325659" cy="104687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4551.6424040509" refreshedBy="Mubin Shahwaz Adhikari" recordCount="30">
  <cacheSource type="worksheet">
    <worksheetSource ref="C8:R43" sheet="PT ABC"/>
  </cacheSource>
  <cacheFields count="16">
    <cacheField name="Campaign Code" numFmtId="178">
      <sharedItems count="5">
        <s v="FE21/OCT/WINW"/>
        <s v="FE21/OCT/WIN"/>
        <s v="FE21/AUG/FESW" u="1"/>
        <s v="FE21/AUG/FES" u="1"/>
        <s v="FE21/SEP/KIDW" u="1"/>
      </sharedItems>
    </cacheField>
    <cacheField name="Particulars" numFmtId="0"/>
    <cacheField name="Width (Inch)" numFmtId="1"/>
    <cacheField name="Height (Inch)" numFmtId="1"/>
    <cacheField name="Quantity" numFmtId="1"/>
    <cacheField name="Total SQFT" numFmtId="2"/>
    <cacheField name="Details" numFmtId="2"/>
    <cacheField name="Description" numFmtId="0"/>
    <cacheField name="Rate" numFmtId="0">
      <sharedItems containsString="0" containsBlank="1" containsNumber="1" containsInteger="1" minValue="5" maxValue="8000" count="22">
        <n v="25"/>
        <n v="5"/>
        <n v="15"/>
        <n v="58"/>
        <n v="60"/>
        <n v="49"/>
        <n v="40"/>
        <m/>
        <n v="100" u="1"/>
        <n v="1000" u="1"/>
        <n v="180" u="1"/>
        <n v="8000" u="1"/>
        <n v="2200" u="1"/>
        <n v="650" u="1"/>
        <n v="50" u="1"/>
        <n v="300" u="1"/>
        <n v="1500" u="1"/>
        <n v="39" u="1"/>
        <n v="110" u="1"/>
        <n v="250" u="1"/>
        <n v="3500" u="1"/>
        <n v="55" u="1"/>
      </sharedItems>
    </cacheField>
    <cacheField name="Article" numFmtId="0">
      <sharedItems containsString="0" containsBlank="1" containsNumber="1" containsInteger="1" minValue="0" maxValue="720002125" count="20">
        <n v="720002029"/>
        <n v="720002125"/>
        <n v="720001997"/>
        <n v="720001737"/>
        <n v="720002000"/>
        <n v="720001567"/>
        <n v="720001999"/>
        <n v="720001707"/>
        <n v="720002035"/>
        <m/>
        <n v="0" u="1"/>
        <n v="720001730" u="1"/>
        <n v="720001392" u="1"/>
        <n v="720001390" u="1"/>
        <n v="720001486" u="1"/>
        <n v="720001491" u="1"/>
        <n v="720001731" u="1"/>
        <n v="720001489" u="1"/>
        <n v="720001487" u="1"/>
        <n v="720001710" u="1"/>
      </sharedItems>
    </cacheField>
    <cacheField name="Amount" numFmtId="2"/>
    <cacheField name="Tax" numFmtId="9"/>
    <cacheField name="Tax Amount" numFmtId="2"/>
    <cacheField name="Total" numFmtId="2"/>
    <cacheField name="Season" numFmtId="0">
      <sharedItems containsBlank="1" count="2">
        <s v="Festive"/>
        <m u="1"/>
      </sharedItems>
    </cacheField>
    <cacheField name="Campaign_x000a_ Name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4921.754003588" refreshedBy="Mubin Shahwaz Adhikari" recordCount="35">
  <cacheSource type="worksheet">
    <worksheetSource ref="C8:R43" sheet="PT ABC"/>
  </cacheSource>
  <cacheFields count="16">
    <cacheField name="Campaign Code" numFmtId="178">
      <sharedItems containsBlank="1" count="2">
        <m/>
        <s v="AW22/JUL/25AW" u="1"/>
      </sharedItems>
    </cacheField>
    <cacheField name="Particulars" numFmtId="0"/>
    <cacheField name="Width (Inch)" numFmtId="1"/>
    <cacheField name="Height (Inch)" numFmtId="1"/>
    <cacheField name="Quantity" numFmtId="1"/>
    <cacheField name="Total SQFT" numFmtId="2"/>
    <cacheField name="Details" numFmtId="2"/>
    <cacheField name="Description" numFmtId="0"/>
    <cacheField name="Rate" numFmtId="0">
      <sharedItems containsSemiMixedTypes="0" containsString="0" containsNumber="1" containsInteger="1" minValue="0" maxValue="50000" count="21">
        <n v="40"/>
        <n v="0" u="1"/>
        <n v="5" u="1"/>
        <n v="87" u="1"/>
        <n v="2" u="1"/>
        <n v="99" u="1"/>
        <n v="50000" u="1"/>
        <n v="6" u="1"/>
        <n v="111" u="1"/>
        <n v="7" u="1"/>
        <n v="35" u="1"/>
        <n v="1" u="1"/>
        <n v="3" u="1"/>
        <n v="8" u="1"/>
        <n v="25" u="1"/>
        <n v="9" u="1"/>
        <n v="250" u="1"/>
        <n v="45" u="1"/>
        <n v="10" u="1"/>
        <n v="67" u="1"/>
        <n v="55" u="1"/>
      </sharedItems>
    </cacheField>
    <cacheField name="Article" numFmtId="0">
      <sharedItems containsSemiMixedTypes="0" containsString="0" containsNumber="1" containsInteger="1" minValue="720001390" maxValue="720002132" count="14">
        <n v="720002030"/>
        <n v="720001835" u="1"/>
        <n v="720001997" u="1"/>
        <n v="720001490" u="1"/>
        <n v="720002029" u="1"/>
        <n v="720002132" u="1"/>
        <n v="720002125" u="1"/>
        <n v="720001390" u="1"/>
        <n v="720002010" u="1"/>
        <n v="720001489" u="1"/>
        <n v="720001729" u="1"/>
        <n v="720001707" u="1"/>
        <n v="720001487" u="1"/>
        <n v="720001710" u="1"/>
      </sharedItems>
    </cacheField>
    <cacheField name="Amount" numFmtId="2"/>
    <cacheField name="Tax" numFmtId="9"/>
    <cacheField name="Tax Amount" numFmtId="2"/>
    <cacheField name="Total" numFmtId="2"/>
    <cacheField name="Season" numFmtId="0">
      <sharedItems containsBlank="1" count="2">
        <m/>
        <s v="AW22" u="1"/>
      </sharedItems>
    </cacheField>
    <cacheField name="Campaign_x000a_ Name" numFmtId="0">
      <sharedItems containsBlank="1" count="2">
        <m/>
        <s v="25th Anniversary Window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  <r>
    <x v="0"/>
    <m/>
    <m/>
    <m/>
    <n v="0"/>
    <n v="0"/>
    <s v="Eco Solvent"/>
    <s v="Eco Solvent Backlit Print With Lam"/>
    <x v="0"/>
    <x v="0"/>
    <n v="0"/>
    <n v="0.18"/>
    <n v="0"/>
    <n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5"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  <r>
    <x v="4294967295"/>
    <m/>
    <m/>
    <m/>
    <m/>
    <m/>
    <m/>
    <m/>
    <x v="4294967295"/>
    <x v="4294967295"/>
    <m/>
    <m/>
    <m/>
    <m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compact="0" indent="0" compactData="0" gridDropZones="1" showDrill="0" multipleFieldFilters="0">
  <location ref="A3:G17" firstHeaderRow="1" firstDataRow="2" firstDataCol="4"/>
  <pivotFields count="16">
    <pivotField axis="axisRow" compact="0" defaultSubtotal="0" outline="0" showAll="0">
      <items count="5">
        <item m="1" x="3"/>
        <item m="1" x="2"/>
        <item m="1" x="4"/>
        <item x="0"/>
        <item x="1"/>
      </items>
    </pivotField>
    <pivotField compact="0" outline="0" showAll="0"/>
    <pivotField compact="0" outline="0" numFmtId="1" showAll="0"/>
    <pivotField compact="0" outline="0" numFmtId="1" showAll="0"/>
    <pivotField compact="0" outline="0" numFmtId="1" showAll="0"/>
    <pivotField dataField="1" compact="0" outline="0" numFmtId="2" showAll="0"/>
    <pivotField compact="0" outline="0" showAll="0"/>
    <pivotField compact="0" outline="0" showAll="0"/>
    <pivotField axis="axisRow" compact="0" defaultSubtotal="0" outline="0" showAll="0">
      <items count="22">
        <item x="1"/>
        <item x="2"/>
        <item x="0"/>
        <item m="1" x="17"/>
        <item x="6"/>
        <item m="1" x="14"/>
        <item m="1" x="21"/>
        <item x="4"/>
        <item m="1" x="8"/>
        <item m="1" x="18"/>
        <item m="1" x="10"/>
        <item m="1" x="19"/>
        <item m="1" x="15"/>
        <item m="1" x="13"/>
        <item m="1" x="9"/>
        <item m="1" x="16"/>
        <item m="1" x="12"/>
        <item m="1" x="20"/>
        <item m="1" x="11"/>
        <item x="3"/>
        <item x="5"/>
        <item x="7"/>
      </items>
    </pivotField>
    <pivotField axis="axisRow" compact="0" defaultSubtotal="0" outline="0" showAll="0">
      <items count="20">
        <item m="1" x="10"/>
        <item m="1" x="13"/>
        <item m="1" x="12"/>
        <item m="1" x="14"/>
        <item m="1" x="18"/>
        <item m="1" x="17"/>
        <item m="1" x="15"/>
        <item x="7"/>
        <item m="1" x="19"/>
        <item m="1" x="11"/>
        <item m="1" x="16"/>
        <item x="3"/>
        <item x="2"/>
        <item x="0"/>
        <item x="1"/>
        <item x="4"/>
        <item x="5"/>
        <item x="6"/>
        <item x="8"/>
        <item x="9"/>
      </items>
    </pivotField>
    <pivotField dataField="1" compact="0" outline="0" numFmtId="2" showAll="0"/>
    <pivotField compact="0" outline="0" numFmtId="9" showAll="0"/>
    <pivotField compact="0" outline="0" numFmtId="2" showAll="0"/>
    <pivotField dataField="1" compact="0" outline="0" numFmtId="2" showAll="0"/>
    <pivotField axis="axisRow" compact="0" defaultSubtotal="0" outline="0" showAll="0">
      <items count="2">
        <item m="1" x="1"/>
        <item x="0"/>
      </items>
    </pivotField>
    <pivotField compact="0" defaultSubtotal="0" outline="0" showAll="0"/>
  </pivotFields>
  <rowFields count="4">
    <field x="0"/>
    <field x="9"/>
    <field x="8"/>
    <field x="14"/>
  </rowFields>
  <rowItems count="13">
    <i>
      <x v="3"/>
      <x v="7"/>
      <x v="4"/>
      <x v="1"/>
    </i>
    <i r="1">
      <x v="11"/>
      <x v="1"/>
      <x v="1"/>
    </i>
    <i r="1">
      <x v="12"/>
      <x v="2"/>
      <x v="1"/>
    </i>
    <i r="1">
      <x v="13"/>
      <x v="2"/>
      <x v="1"/>
    </i>
    <i r="1">
      <x v="14"/>
      <x/>
      <x v="1"/>
    </i>
    <i r="1">
      <x v="15"/>
      <x v="19"/>
      <x v="1"/>
    </i>
    <i r="1">
      <x v="16"/>
      <x v="7"/>
      <x v="1"/>
    </i>
    <i r="1">
      <x v="17"/>
      <x v="20"/>
      <x v="1"/>
    </i>
    <i>
      <x v="4"/>
      <x v="14"/>
      <x/>
      <x v="1"/>
    </i>
    <i r="1">
      <x v="16"/>
      <x v="7"/>
      <x v="1"/>
    </i>
    <i r="1">
      <x v="18"/>
      <x v="21"/>
      <x v="1"/>
    </i>
    <i r="1">
      <x v="19"/>
      <x v="21"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QFT" fld="5" baseField="0" baseItem="0"/>
    <dataField name="Sum of Amount" fld="10" baseField="0" baseItem="0" numFmtId="176"/>
    <dataField name="Sum of Total" fld="13" baseField="0" baseItem="0" numFmtId="176"/>
  </dataFields>
  <formats count="3">
    <format dxfId="0">
      <pivotArea outline="0" collapsedLevelsAreSubtotals="1" fieldPosition="0"/>
    </format>
    <format dxfId="1">
      <pivotArea outline="0" collapsedLevelsAreSubtotals="1" fieldPosition="0"/>
    </format>
    <format dxfId="2">
      <pivotArea outline="0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6" minRefreshableVersion="3" createdVersion="6" useAutoFormatting="1" compact="0" indent="0" compactData="0" gridDropZones="1" showDrill="0" multipleFieldFilters="0">
  <location ref="A3:H6" firstHeaderRow="1" firstDataRow="2" firstDataCol="5"/>
  <pivotFields count="16">
    <pivotField axis="axisRow" compact="0" defaultSubtotal="0" outline="0" showAll="0">
      <items count="2"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numFmtId="2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21">
        <item m="1" x="1"/>
        <item m="1" x="2"/>
        <item m="1" x="18"/>
        <item m="1" x="14"/>
        <item m="1" x="10"/>
        <item x="0"/>
        <item m="1" x="17"/>
        <item m="1" x="16"/>
        <item m="1" x="6"/>
        <item m="1" x="11"/>
        <item m="1" x="4"/>
        <item m="1" x="12"/>
        <item m="1" x="7"/>
        <item m="1" x="9"/>
        <item m="1" x="13"/>
        <item m="1" x="15"/>
        <item m="1" x="5"/>
        <item m="1" x="3"/>
        <item m="1" x="19"/>
        <item m="1" x="20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14">
        <item m="1" x="7"/>
        <item m="1" x="12"/>
        <item m="1" x="9"/>
        <item m="1" x="3"/>
        <item m="1" x="11"/>
        <item m="1" x="13"/>
        <item m="1" x="10"/>
        <item m="1" x="1"/>
        <item m="1" x="2"/>
        <item m="1" x="8"/>
        <item m="1" x="4"/>
        <item m="1" x="6"/>
        <item m="1" x="5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numFmtId="2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numFmtId="9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numFmtId="2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numFmtId="2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2"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Campaign" compact="0" defaultSubtotal="0" outline="0" showAll="0">
      <items count="2"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14"/>
    <field x="15"/>
    <field x="9"/>
    <field x="8"/>
  </rowFields>
  <rowItems count="2">
    <i>
      <x v="1"/>
      <x v="1"/>
      <x v="1"/>
      <x v="13"/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QFT" fld="5" baseField="0" baseItem="0" numFmtId="179"/>
    <dataField name="Sum of Amount" fld="10" baseField="0" baseItem="0" numFmtId="2"/>
    <dataField name="Sum of Total" fld="13" baseField="0" baseItem="0" numFmtId="2"/>
  </dataFields>
  <formats count="2">
    <format dxfId="3">
      <pivotArea outline="0" fieldPosition="0">
        <references count="1">
          <reference field="4294967294" count="1" selected="0">
            <x v="0"/>
          </reference>
        </references>
      </pivotArea>
    </format>
    <format dxfId="4">
      <pivotArea outline="0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200" totalsRowShown="0">
  <autoFilter xmlns:etc="http://www.wps.cn/officeDocument/2017/etCustomData" ref="A1:H200" etc:filterBottomFollowUsedRange="0"/>
  <sortState ref="A1:H200">
    <sortCondition ref="C1:C183"/>
  </sortState>
  <tableColumns count="8">
    <tableColumn id="1" name="S No." dataDxfId="5"/>
    <tableColumn id="10" name="Details" dataDxfId="6"/>
    <tableColumn id="2" name="PARTICULAR" dataDxfId="7"/>
    <tableColumn id="3" name="Article" dataDxfId="8"/>
    <tableColumn id="4" name="GST %" dataDxfId="9"/>
    <tableColumn id="5" name="Rate" dataDxfId="10"/>
    <tableColumn id="7" name="Remarks" dataDxfId="11"/>
    <tableColumn id="8" name="Changes" dataDxf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00"/>
  <sheetViews>
    <sheetView zoomScale="55" zoomScaleNormal="55" workbookViewId="0">
      <selection activeCell="C33" sqref="C33"/>
    </sheetView>
  </sheetViews>
  <sheetFormatPr defaultColWidth="9" defaultRowHeight="16.8"/>
  <cols>
    <col min="1" max="1" width="7.3671875" customWidth="1"/>
    <col min="2" max="2" width="14.90625" customWidth="1"/>
    <col min="3" max="3" width="49.90625" customWidth="1"/>
    <col min="4" max="4" width="10.453125" style="99" customWidth="1"/>
    <col min="5" max="5" width="8" customWidth="1"/>
    <col min="6" max="6" width="13.1796875" customWidth="1"/>
    <col min="7" max="7" width="16.6328125" customWidth="1"/>
    <col min="8" max="8" width="30.546875" customWidth="1"/>
    <col min="9" max="9" width="43.90625" customWidth="1"/>
    <col min="13" max="13" width="11" customWidth="1"/>
  </cols>
  <sheetData>
    <row r="1" spans="1:11">
      <c r="A1" s="100" t="s">
        <v>0</v>
      </c>
      <c r="B1" s="101" t="s">
        <v>1</v>
      </c>
      <c r="C1" s="101" t="s">
        <v>2</v>
      </c>
      <c r="D1" s="101" t="s">
        <v>3</v>
      </c>
      <c r="E1" s="101" t="s">
        <v>4</v>
      </c>
      <c r="F1" s="101" t="s">
        <v>5</v>
      </c>
      <c r="G1" s="101" t="s">
        <v>6</v>
      </c>
      <c r="H1" s="112" t="s">
        <v>7</v>
      </c>
      <c r="K1" t="s">
        <v>8</v>
      </c>
    </row>
    <row r="2" s="90" customFormat="1" spans="1:8">
      <c r="A2" s="102">
        <v>1</v>
      </c>
      <c r="B2" s="103" t="s">
        <v>9</v>
      </c>
      <c r="C2" s="103" t="s">
        <v>10</v>
      </c>
      <c r="D2" s="104">
        <v>720001565</v>
      </c>
      <c r="E2" s="113">
        <v>0.18</v>
      </c>
      <c r="F2" s="104">
        <v>133</v>
      </c>
      <c r="G2" s="11"/>
      <c r="H2" s="114"/>
    </row>
    <row r="3" s="90" customFormat="1" spans="1:8">
      <c r="A3" s="102">
        <f>A2+1</f>
        <v>2</v>
      </c>
      <c r="B3" s="103" t="s">
        <v>9</v>
      </c>
      <c r="C3" s="103" t="s">
        <v>11</v>
      </c>
      <c r="D3" s="104">
        <v>720001384</v>
      </c>
      <c r="E3" s="113">
        <v>0.18</v>
      </c>
      <c r="F3" s="104">
        <v>210</v>
      </c>
      <c r="G3" s="11"/>
      <c r="H3" s="115"/>
    </row>
    <row r="4" s="90" customFormat="1" spans="1:8">
      <c r="A4" s="102">
        <f t="shared" ref="A4:A67" si="0">A3+1</f>
        <v>3</v>
      </c>
      <c r="B4" s="103" t="s">
        <v>9</v>
      </c>
      <c r="C4" s="103" t="s">
        <v>12</v>
      </c>
      <c r="D4" s="104">
        <v>720001181</v>
      </c>
      <c r="E4" s="113">
        <v>0.18</v>
      </c>
      <c r="F4" s="104" t="e">
        <v>#N/A</v>
      </c>
      <c r="G4" s="11"/>
      <c r="H4" s="115"/>
    </row>
    <row r="5" s="90" customFormat="1" spans="1:8">
      <c r="A5" s="102">
        <f t="shared" si="0"/>
        <v>4</v>
      </c>
      <c r="B5" s="103" t="s">
        <v>9</v>
      </c>
      <c r="C5" s="103" t="s">
        <v>13</v>
      </c>
      <c r="D5" s="104">
        <v>720001184</v>
      </c>
      <c r="E5" s="113">
        <v>0.18</v>
      </c>
      <c r="F5" s="104" t="e">
        <v>#N/A</v>
      </c>
      <c r="G5" s="11"/>
      <c r="H5" s="115"/>
    </row>
    <row r="6" s="90" customFormat="1" spans="1:8">
      <c r="A6" s="102">
        <f t="shared" si="0"/>
        <v>5</v>
      </c>
      <c r="B6" s="103" t="s">
        <v>9</v>
      </c>
      <c r="C6" s="103" t="s">
        <v>14</v>
      </c>
      <c r="D6" s="104">
        <v>720001183</v>
      </c>
      <c r="E6" s="113">
        <v>0.18</v>
      </c>
      <c r="F6" s="104" t="e">
        <v>#N/A</v>
      </c>
      <c r="G6" s="11"/>
      <c r="H6" s="115"/>
    </row>
    <row r="7" s="90" customFormat="1" spans="1:8">
      <c r="A7" s="102">
        <f t="shared" si="0"/>
        <v>6</v>
      </c>
      <c r="B7" s="103" t="s">
        <v>9</v>
      </c>
      <c r="C7" s="103" t="s">
        <v>15</v>
      </c>
      <c r="D7" s="104">
        <v>720001182</v>
      </c>
      <c r="E7" s="113">
        <v>0.18</v>
      </c>
      <c r="F7" s="104" t="e">
        <v>#N/A</v>
      </c>
      <c r="G7" s="11"/>
      <c r="H7" s="115"/>
    </row>
    <row r="8" s="90" customFormat="1" spans="1:8">
      <c r="A8" s="102">
        <f t="shared" si="0"/>
        <v>7</v>
      </c>
      <c r="B8" s="105" t="s">
        <v>16</v>
      </c>
      <c r="C8" s="11" t="s">
        <v>17</v>
      </c>
      <c r="D8" s="106">
        <v>720000030</v>
      </c>
      <c r="E8" s="116">
        <v>0.18</v>
      </c>
      <c r="F8" s="104">
        <v>40</v>
      </c>
      <c r="G8" s="11"/>
      <c r="H8" s="115"/>
    </row>
    <row r="9" s="90" customFormat="1" spans="1:8">
      <c r="A9" s="102">
        <f t="shared" si="0"/>
        <v>8</v>
      </c>
      <c r="B9" s="103" t="s">
        <v>18</v>
      </c>
      <c r="C9" s="103" t="s">
        <v>19</v>
      </c>
      <c r="D9" s="104">
        <v>720001988</v>
      </c>
      <c r="E9" s="116">
        <v>0.18</v>
      </c>
      <c r="F9" s="104">
        <v>110</v>
      </c>
      <c r="G9" s="11"/>
      <c r="H9" s="114"/>
    </row>
    <row r="10" s="90" customFormat="1" spans="1:8">
      <c r="A10" s="102">
        <f t="shared" si="0"/>
        <v>9</v>
      </c>
      <c r="B10" s="103" t="s">
        <v>20</v>
      </c>
      <c r="C10" s="103" t="s">
        <v>21</v>
      </c>
      <c r="D10" s="104">
        <v>720002026</v>
      </c>
      <c r="E10" s="116">
        <v>0.18</v>
      </c>
      <c r="F10" s="104">
        <v>120</v>
      </c>
      <c r="G10" s="11"/>
      <c r="H10" s="115"/>
    </row>
    <row r="11" s="90" customFormat="1" spans="1:8">
      <c r="A11" s="102">
        <f t="shared" si="0"/>
        <v>10</v>
      </c>
      <c r="B11" s="105" t="s">
        <v>18</v>
      </c>
      <c r="C11" s="11" t="s">
        <v>22</v>
      </c>
      <c r="D11" s="106">
        <v>720002145</v>
      </c>
      <c r="E11" s="116">
        <v>0.18</v>
      </c>
      <c r="F11" s="104">
        <v>135</v>
      </c>
      <c r="G11" s="11"/>
      <c r="H11" s="115"/>
    </row>
    <row r="12" s="90" customFormat="1" spans="1:8">
      <c r="A12" s="102">
        <f t="shared" si="0"/>
        <v>11</v>
      </c>
      <c r="B12" s="105" t="s">
        <v>23</v>
      </c>
      <c r="C12" s="11" t="s">
        <v>24</v>
      </c>
      <c r="D12" s="106">
        <v>720001737</v>
      </c>
      <c r="E12" s="116">
        <v>0.12</v>
      </c>
      <c r="F12" s="104">
        <v>20</v>
      </c>
      <c r="G12" s="11"/>
      <c r="H12" s="114"/>
    </row>
    <row r="13" s="90" customFormat="1" spans="1:8">
      <c r="A13" s="102">
        <f t="shared" si="0"/>
        <v>12</v>
      </c>
      <c r="B13" s="103" t="s">
        <v>25</v>
      </c>
      <c r="C13" s="103" t="s">
        <v>26</v>
      </c>
      <c r="D13" s="104">
        <v>720001772</v>
      </c>
      <c r="E13" s="113">
        <v>0.18</v>
      </c>
      <c r="F13" s="104">
        <v>25</v>
      </c>
      <c r="G13" s="11"/>
      <c r="H13" s="114"/>
    </row>
    <row r="14" s="90" customFormat="1" spans="1:8">
      <c r="A14" s="102">
        <f t="shared" si="0"/>
        <v>13</v>
      </c>
      <c r="B14" s="105" t="s">
        <v>27</v>
      </c>
      <c r="C14" s="103" t="s">
        <v>28</v>
      </c>
      <c r="D14" s="104">
        <v>720002255</v>
      </c>
      <c r="E14" s="116">
        <v>0.18</v>
      </c>
      <c r="F14" s="104">
        <v>90</v>
      </c>
      <c r="G14" s="11"/>
      <c r="H14" s="114"/>
    </row>
    <row r="15" s="90" customFormat="1" spans="1:8">
      <c r="A15" s="102">
        <f t="shared" si="0"/>
        <v>14</v>
      </c>
      <c r="B15" s="103" t="s">
        <v>29</v>
      </c>
      <c r="C15" s="103" t="s">
        <v>30</v>
      </c>
      <c r="D15" s="104">
        <v>720002045</v>
      </c>
      <c r="E15" s="113">
        <v>0.18</v>
      </c>
      <c r="F15" s="104">
        <v>25</v>
      </c>
      <c r="G15" s="11"/>
      <c r="H15" s="115"/>
    </row>
    <row r="16" s="90" customFormat="1" spans="1:8">
      <c r="A16" s="102">
        <f t="shared" si="0"/>
        <v>15</v>
      </c>
      <c r="B16" s="103" t="s">
        <v>29</v>
      </c>
      <c r="C16" s="103" t="s">
        <v>31</v>
      </c>
      <c r="D16" s="104">
        <v>720002025</v>
      </c>
      <c r="E16" s="113">
        <v>0.18</v>
      </c>
      <c r="F16" s="104">
        <v>7</v>
      </c>
      <c r="G16" s="11"/>
      <c r="H16" s="115"/>
    </row>
    <row r="17" s="90" customFormat="1" spans="1:8">
      <c r="A17" s="102">
        <f t="shared" si="0"/>
        <v>16</v>
      </c>
      <c r="B17" s="103" t="s">
        <v>29</v>
      </c>
      <c r="C17" s="103" t="s">
        <v>32</v>
      </c>
      <c r="D17" s="104">
        <v>720002011</v>
      </c>
      <c r="E17" s="113">
        <v>0.18</v>
      </c>
      <c r="F17" s="104">
        <v>30</v>
      </c>
      <c r="G17" s="11"/>
      <c r="H17" s="115"/>
    </row>
    <row r="18" s="90" customFormat="1" spans="1:8">
      <c r="A18" s="102">
        <f t="shared" si="0"/>
        <v>17</v>
      </c>
      <c r="B18" s="103" t="s">
        <v>29</v>
      </c>
      <c r="C18" s="103" t="s">
        <v>33</v>
      </c>
      <c r="D18" s="104">
        <v>720001775</v>
      </c>
      <c r="E18" s="113">
        <v>0.18</v>
      </c>
      <c r="F18" s="104">
        <v>25</v>
      </c>
      <c r="G18" s="11"/>
      <c r="H18" s="115"/>
    </row>
    <row r="19" s="90" customFormat="1" spans="1:8">
      <c r="A19" s="102">
        <f t="shared" si="0"/>
        <v>18</v>
      </c>
      <c r="B19" s="103" t="s">
        <v>29</v>
      </c>
      <c r="C19" s="107" t="s">
        <v>34</v>
      </c>
      <c r="D19" s="104">
        <v>720002010</v>
      </c>
      <c r="E19" s="113">
        <v>0.18</v>
      </c>
      <c r="F19" s="104">
        <v>12</v>
      </c>
      <c r="G19" s="11"/>
      <c r="H19" s="115"/>
    </row>
    <row r="20" s="90" customFormat="1" spans="1:8">
      <c r="A20" s="102">
        <f t="shared" si="0"/>
        <v>19</v>
      </c>
      <c r="B20" s="103" t="s">
        <v>29</v>
      </c>
      <c r="C20" s="103" t="s">
        <v>35</v>
      </c>
      <c r="D20" s="104">
        <v>720001761</v>
      </c>
      <c r="E20" s="113">
        <v>0.18</v>
      </c>
      <c r="F20" s="104">
        <v>16</v>
      </c>
      <c r="G20" s="11"/>
      <c r="H20" s="115"/>
    </row>
    <row r="21" s="90" customFormat="1" spans="1:8">
      <c r="A21" s="102">
        <f t="shared" si="0"/>
        <v>20</v>
      </c>
      <c r="B21" s="103" t="s">
        <v>29</v>
      </c>
      <c r="C21" s="103" t="s">
        <v>36</v>
      </c>
      <c r="D21" s="104">
        <v>720002206</v>
      </c>
      <c r="E21" s="113">
        <v>0.18</v>
      </c>
      <c r="F21" s="104" t="e">
        <v>#N/A</v>
      </c>
      <c r="G21" s="11"/>
      <c r="H21" s="115"/>
    </row>
    <row r="22" s="90" customFormat="1" spans="1:8">
      <c r="A22" s="102">
        <f t="shared" si="0"/>
        <v>21</v>
      </c>
      <c r="B22" s="103" t="s">
        <v>25</v>
      </c>
      <c r="C22" s="103" t="s">
        <v>37</v>
      </c>
      <c r="D22" s="104">
        <v>720001980</v>
      </c>
      <c r="E22" s="113">
        <v>0.18</v>
      </c>
      <c r="F22" s="104" t="e">
        <v>#N/A</v>
      </c>
      <c r="G22" s="11"/>
      <c r="H22" s="115"/>
    </row>
    <row r="23" s="90" customFormat="1" spans="1:8">
      <c r="A23" s="102">
        <f t="shared" si="0"/>
        <v>22</v>
      </c>
      <c r="B23" s="103" t="s">
        <v>25</v>
      </c>
      <c r="C23" s="103" t="s">
        <v>38</v>
      </c>
      <c r="D23" s="104">
        <v>720001345</v>
      </c>
      <c r="E23" s="113">
        <v>0.18</v>
      </c>
      <c r="F23" s="104" t="e">
        <v>#N/A</v>
      </c>
      <c r="G23" s="11"/>
      <c r="H23" s="115"/>
    </row>
    <row r="24" s="90" customFormat="1" spans="1:8">
      <c r="A24" s="102">
        <f t="shared" si="0"/>
        <v>23</v>
      </c>
      <c r="B24" s="103" t="s">
        <v>25</v>
      </c>
      <c r="C24" s="103" t="s">
        <v>39</v>
      </c>
      <c r="D24" s="104">
        <v>720002012</v>
      </c>
      <c r="E24" s="113">
        <v>0.18</v>
      </c>
      <c r="F24" s="104">
        <v>8</v>
      </c>
      <c r="G24" s="11"/>
      <c r="H24" s="115"/>
    </row>
    <row r="25" s="90" customFormat="1" spans="1:8">
      <c r="A25" s="102">
        <f t="shared" si="0"/>
        <v>24</v>
      </c>
      <c r="B25" s="103" t="s">
        <v>40</v>
      </c>
      <c r="C25" s="103" t="s">
        <v>41</v>
      </c>
      <c r="D25" s="104">
        <v>720001392</v>
      </c>
      <c r="E25" s="113">
        <v>0.18</v>
      </c>
      <c r="F25" s="104" t="e">
        <v>#N/A</v>
      </c>
      <c r="G25" s="11"/>
      <c r="H25" s="115"/>
    </row>
    <row r="26" s="90" customFormat="1" spans="1:8">
      <c r="A26" s="102">
        <f t="shared" si="0"/>
        <v>25</v>
      </c>
      <c r="B26" s="105" t="s">
        <v>9</v>
      </c>
      <c r="C26" s="11" t="s">
        <v>42</v>
      </c>
      <c r="D26" s="106">
        <v>720002355</v>
      </c>
      <c r="E26" s="116">
        <v>0.18</v>
      </c>
      <c r="F26" s="104" t="e">
        <v>#N/A</v>
      </c>
      <c r="G26" s="11"/>
      <c r="H26" s="115"/>
    </row>
    <row r="27" s="90" customFormat="1" spans="1:8">
      <c r="A27" s="102">
        <f t="shared" si="0"/>
        <v>26</v>
      </c>
      <c r="B27" s="103" t="s">
        <v>9</v>
      </c>
      <c r="C27" s="103" t="s">
        <v>43</v>
      </c>
      <c r="D27" s="104">
        <v>720002356</v>
      </c>
      <c r="E27" s="113">
        <v>0.18</v>
      </c>
      <c r="F27" s="104" t="e">
        <v>#N/A</v>
      </c>
      <c r="G27" s="11"/>
      <c r="H27" s="114"/>
    </row>
    <row r="28" s="90" customFormat="1" spans="1:8">
      <c r="A28" s="102">
        <f t="shared" si="0"/>
        <v>27</v>
      </c>
      <c r="B28" s="103" t="s">
        <v>44</v>
      </c>
      <c r="C28" s="103" t="s">
        <v>45</v>
      </c>
      <c r="D28" s="104">
        <v>720001435</v>
      </c>
      <c r="E28" s="113">
        <v>0.18</v>
      </c>
      <c r="F28" s="104" t="e">
        <v>#N/A</v>
      </c>
      <c r="G28" s="11"/>
      <c r="H28" s="115"/>
    </row>
    <row r="29" s="90" customFormat="1" spans="1:8">
      <c r="A29" s="102">
        <f t="shared" si="0"/>
        <v>28</v>
      </c>
      <c r="B29" s="103" t="s">
        <v>44</v>
      </c>
      <c r="C29" s="108" t="s">
        <v>46</v>
      </c>
      <c r="D29" s="109">
        <v>720001407</v>
      </c>
      <c r="E29" s="113">
        <v>0.18</v>
      </c>
      <c r="F29" s="104" t="e">
        <v>#N/A</v>
      </c>
      <c r="G29" s="11"/>
      <c r="H29" s="115"/>
    </row>
    <row r="30" s="90" customFormat="1" spans="1:8">
      <c r="A30" s="102">
        <f t="shared" si="0"/>
        <v>29</v>
      </c>
      <c r="B30" s="103" t="s">
        <v>47</v>
      </c>
      <c r="C30" s="108" t="s">
        <v>48</v>
      </c>
      <c r="D30" s="109">
        <v>720002033</v>
      </c>
      <c r="E30" s="113">
        <v>0.18</v>
      </c>
      <c r="F30" s="104" t="s">
        <v>49</v>
      </c>
      <c r="G30" s="11"/>
      <c r="H30" s="117"/>
    </row>
    <row r="31" s="90" customFormat="1" spans="1:8">
      <c r="A31" s="102">
        <f t="shared" si="0"/>
        <v>30</v>
      </c>
      <c r="B31" s="103" t="s">
        <v>47</v>
      </c>
      <c r="C31" s="103" t="s">
        <v>50</v>
      </c>
      <c r="D31" s="104">
        <v>720000064</v>
      </c>
      <c r="E31" s="113">
        <v>0.18</v>
      </c>
      <c r="F31" s="104">
        <v>18</v>
      </c>
      <c r="G31" s="11"/>
      <c r="H31" s="115"/>
    </row>
    <row r="32" s="90" customFormat="1" spans="1:8">
      <c r="A32" s="102">
        <f t="shared" si="0"/>
        <v>31</v>
      </c>
      <c r="B32" s="103" t="s">
        <v>47</v>
      </c>
      <c r="C32" s="107" t="s">
        <v>51</v>
      </c>
      <c r="D32" s="104">
        <v>720000062</v>
      </c>
      <c r="E32" s="113">
        <v>0.18</v>
      </c>
      <c r="F32" s="104">
        <v>9</v>
      </c>
      <c r="G32" s="11"/>
      <c r="H32" s="115"/>
    </row>
    <row r="33" s="90" customFormat="1" spans="1:8">
      <c r="A33" s="102">
        <f t="shared" si="0"/>
        <v>32</v>
      </c>
      <c r="B33" s="103" t="s">
        <v>47</v>
      </c>
      <c r="C33" s="103" t="s">
        <v>52</v>
      </c>
      <c r="D33" s="104">
        <v>720000063</v>
      </c>
      <c r="E33" s="113">
        <v>0.18</v>
      </c>
      <c r="F33" s="104">
        <v>6</v>
      </c>
      <c r="G33" s="11"/>
      <c r="H33" s="115"/>
    </row>
    <row r="34" s="90" customFormat="1" spans="1:8">
      <c r="A34" s="102">
        <f t="shared" si="0"/>
        <v>33</v>
      </c>
      <c r="B34" s="103" t="s">
        <v>47</v>
      </c>
      <c r="C34" s="103" t="s">
        <v>53</v>
      </c>
      <c r="D34" s="104">
        <v>720002024</v>
      </c>
      <c r="E34" s="113">
        <v>0.18</v>
      </c>
      <c r="F34" s="104" t="s">
        <v>49</v>
      </c>
      <c r="G34" s="11"/>
      <c r="H34" s="115"/>
    </row>
    <row r="35" s="90" customFormat="1" spans="1:8">
      <c r="A35" s="102">
        <f t="shared" si="0"/>
        <v>34</v>
      </c>
      <c r="B35" s="103" t="s">
        <v>47</v>
      </c>
      <c r="C35" s="103" t="s">
        <v>54</v>
      </c>
      <c r="D35" s="104">
        <v>720002016</v>
      </c>
      <c r="E35" s="113">
        <v>0.18</v>
      </c>
      <c r="F35" s="104" t="e">
        <v>#N/A</v>
      </c>
      <c r="G35" s="11"/>
      <c r="H35" s="115"/>
    </row>
    <row r="36" s="90" customFormat="1" spans="1:8">
      <c r="A36" s="102">
        <f t="shared" si="0"/>
        <v>35</v>
      </c>
      <c r="B36" s="103" t="s">
        <v>47</v>
      </c>
      <c r="C36" s="103" t="s">
        <v>55</v>
      </c>
      <c r="D36" s="104">
        <v>720001935</v>
      </c>
      <c r="E36" s="113">
        <v>0.18</v>
      </c>
      <c r="F36" s="104" t="e">
        <v>#N/A</v>
      </c>
      <c r="G36" s="11"/>
      <c r="H36" s="115"/>
    </row>
    <row r="37" s="90" customFormat="1" spans="1:8">
      <c r="A37" s="102">
        <f t="shared" si="0"/>
        <v>36</v>
      </c>
      <c r="B37" s="103" t="s">
        <v>56</v>
      </c>
      <c r="C37" s="103" t="s">
        <v>57</v>
      </c>
      <c r="D37" s="104">
        <v>720002032</v>
      </c>
      <c r="E37" s="113">
        <v>0.18</v>
      </c>
      <c r="F37" s="104" t="e">
        <v>#N/A</v>
      </c>
      <c r="G37" s="11"/>
      <c r="H37" s="115"/>
    </row>
    <row r="38" s="90" customFormat="1" spans="1:8">
      <c r="A38" s="102">
        <f t="shared" si="0"/>
        <v>37</v>
      </c>
      <c r="B38" s="103" t="s">
        <v>56</v>
      </c>
      <c r="C38" s="107" t="s">
        <v>58</v>
      </c>
      <c r="D38" s="104">
        <v>720000057</v>
      </c>
      <c r="E38" s="113">
        <v>0.18</v>
      </c>
      <c r="F38" s="104" t="s">
        <v>49</v>
      </c>
      <c r="G38" s="11"/>
      <c r="H38" s="115"/>
    </row>
    <row r="39" s="90" customFormat="1" spans="1:8">
      <c r="A39" s="102">
        <f t="shared" si="0"/>
        <v>38</v>
      </c>
      <c r="B39" s="105" t="s">
        <v>56</v>
      </c>
      <c r="C39" s="11" t="s">
        <v>59</v>
      </c>
      <c r="D39" s="106">
        <v>720000059</v>
      </c>
      <c r="E39" s="116">
        <v>0.18</v>
      </c>
      <c r="F39" s="104" t="s">
        <v>49</v>
      </c>
      <c r="G39" s="11"/>
      <c r="H39" s="115"/>
    </row>
    <row r="40" s="90" customFormat="1" spans="1:8">
      <c r="A40" s="102">
        <f t="shared" si="0"/>
        <v>39</v>
      </c>
      <c r="B40" s="105" t="s">
        <v>56</v>
      </c>
      <c r="C40" s="11" t="s">
        <v>60</v>
      </c>
      <c r="D40" s="106">
        <v>720001805</v>
      </c>
      <c r="E40" s="116">
        <v>0.18</v>
      </c>
      <c r="F40" s="104" t="s">
        <v>49</v>
      </c>
      <c r="G40" s="11"/>
      <c r="H40" s="114"/>
    </row>
    <row r="41" s="90" customFormat="1" spans="1:8">
      <c r="A41" s="102">
        <f t="shared" si="0"/>
        <v>40</v>
      </c>
      <c r="B41" s="105" t="s">
        <v>56</v>
      </c>
      <c r="C41" s="11" t="s">
        <v>61</v>
      </c>
      <c r="D41" s="106">
        <v>720002023</v>
      </c>
      <c r="E41" s="116">
        <v>0.18</v>
      </c>
      <c r="F41" s="104" t="s">
        <v>49</v>
      </c>
      <c r="G41" s="11"/>
      <c r="H41" s="114"/>
    </row>
    <row r="42" s="90" customFormat="1" spans="1:8">
      <c r="A42" s="102">
        <f t="shared" si="0"/>
        <v>41</v>
      </c>
      <c r="B42" s="105" t="s">
        <v>56</v>
      </c>
      <c r="C42" s="11" t="s">
        <v>62</v>
      </c>
      <c r="D42" s="106">
        <v>720001975</v>
      </c>
      <c r="E42" s="116">
        <v>0.18</v>
      </c>
      <c r="F42" s="104" t="e">
        <v>#N/A</v>
      </c>
      <c r="G42" s="11"/>
      <c r="H42" s="114"/>
    </row>
    <row r="43" s="90" customFormat="1" spans="1:8">
      <c r="A43" s="102">
        <f t="shared" si="0"/>
        <v>42</v>
      </c>
      <c r="B43" s="105" t="s">
        <v>56</v>
      </c>
      <c r="C43" s="11" t="s">
        <v>63</v>
      </c>
      <c r="D43" s="106">
        <v>720001976</v>
      </c>
      <c r="E43" s="116">
        <v>0.18</v>
      </c>
      <c r="F43" s="104" t="e">
        <v>#N/A</v>
      </c>
      <c r="G43" s="11"/>
      <c r="H43" s="114"/>
    </row>
    <row r="44" s="90" customFormat="1" spans="1:8">
      <c r="A44" s="102">
        <f t="shared" si="0"/>
        <v>43</v>
      </c>
      <c r="B44" s="105" t="s">
        <v>47</v>
      </c>
      <c r="C44" s="11" t="s">
        <v>64</v>
      </c>
      <c r="D44" s="106">
        <v>720001695</v>
      </c>
      <c r="E44" s="116">
        <v>0.18</v>
      </c>
      <c r="F44" s="104">
        <v>25</v>
      </c>
      <c r="G44" s="11"/>
      <c r="H44" s="114"/>
    </row>
    <row r="45" s="90" customFormat="1" spans="1:8">
      <c r="A45" s="102">
        <f t="shared" si="0"/>
        <v>44</v>
      </c>
      <c r="B45" s="105" t="s">
        <v>56</v>
      </c>
      <c r="C45" s="11" t="s">
        <v>65</v>
      </c>
      <c r="D45" s="106">
        <v>720002105</v>
      </c>
      <c r="E45" s="116">
        <v>0.18</v>
      </c>
      <c r="F45" s="104" t="e">
        <v>#N/A</v>
      </c>
      <c r="G45" s="11"/>
      <c r="H45" s="114"/>
    </row>
    <row r="46" s="90" customFormat="1" spans="1:8">
      <c r="A46" s="102">
        <f t="shared" si="0"/>
        <v>45</v>
      </c>
      <c r="B46" s="105" t="s">
        <v>56</v>
      </c>
      <c r="C46" s="11" t="s">
        <v>66</v>
      </c>
      <c r="D46" s="106">
        <v>720002115</v>
      </c>
      <c r="E46" s="116">
        <v>0.18</v>
      </c>
      <c r="F46" s="104" t="e">
        <v>#N/A</v>
      </c>
      <c r="G46" s="11"/>
      <c r="H46" s="114"/>
    </row>
    <row r="47" s="90" customFormat="1" spans="1:8">
      <c r="A47" s="102">
        <f t="shared" si="0"/>
        <v>46</v>
      </c>
      <c r="B47" s="105" t="s">
        <v>56</v>
      </c>
      <c r="C47" s="11" t="s">
        <v>67</v>
      </c>
      <c r="D47" s="106">
        <v>720002116</v>
      </c>
      <c r="E47" s="116">
        <v>0.18</v>
      </c>
      <c r="F47" s="104" t="e">
        <v>#N/A</v>
      </c>
      <c r="G47" s="11"/>
      <c r="H47" s="114"/>
    </row>
    <row r="48" s="90" customFormat="1" spans="1:8">
      <c r="A48" s="102">
        <f t="shared" si="0"/>
        <v>47</v>
      </c>
      <c r="B48" s="105" t="s">
        <v>68</v>
      </c>
      <c r="C48" s="11" t="s">
        <v>69</v>
      </c>
      <c r="D48" s="106">
        <v>720002125</v>
      </c>
      <c r="E48" s="116">
        <v>0.18</v>
      </c>
      <c r="F48" s="104">
        <v>5</v>
      </c>
      <c r="G48" s="11"/>
      <c r="H48" s="114"/>
    </row>
    <row r="49" s="90" customFormat="1" spans="1:8">
      <c r="A49" s="102">
        <f t="shared" si="0"/>
        <v>48</v>
      </c>
      <c r="B49" s="105" t="s">
        <v>68</v>
      </c>
      <c r="C49" s="11" t="s">
        <v>70</v>
      </c>
      <c r="D49" s="106">
        <v>720002126</v>
      </c>
      <c r="E49" s="116">
        <v>0.18</v>
      </c>
      <c r="F49" s="104">
        <v>10</v>
      </c>
      <c r="G49" s="11"/>
      <c r="H49" s="114"/>
    </row>
    <row r="50" s="90" customFormat="1" spans="1:8">
      <c r="A50" s="102">
        <f t="shared" si="0"/>
        <v>49</v>
      </c>
      <c r="B50" s="105" t="s">
        <v>68</v>
      </c>
      <c r="C50" s="11" t="s">
        <v>71</v>
      </c>
      <c r="D50" s="106">
        <v>720002127</v>
      </c>
      <c r="E50" s="116">
        <v>0.18</v>
      </c>
      <c r="F50" s="104">
        <v>8</v>
      </c>
      <c r="G50" s="11"/>
      <c r="H50" s="114"/>
    </row>
    <row r="51" s="90" customFormat="1" spans="1:8">
      <c r="A51" s="102">
        <f t="shared" si="0"/>
        <v>50</v>
      </c>
      <c r="B51" s="105" t="s">
        <v>68</v>
      </c>
      <c r="C51" s="11" t="s">
        <v>72</v>
      </c>
      <c r="D51" s="106">
        <v>720002129</v>
      </c>
      <c r="E51" s="116">
        <v>0.18</v>
      </c>
      <c r="F51" s="104">
        <v>5</v>
      </c>
      <c r="G51" s="11"/>
      <c r="H51" s="114"/>
    </row>
    <row r="52" s="90" customFormat="1" spans="1:8">
      <c r="A52" s="102">
        <f t="shared" si="0"/>
        <v>51</v>
      </c>
      <c r="B52" s="103" t="s">
        <v>68</v>
      </c>
      <c r="C52" s="110" t="s">
        <v>73</v>
      </c>
      <c r="D52" s="104">
        <v>720002130</v>
      </c>
      <c r="E52" s="113">
        <v>0.18</v>
      </c>
      <c r="F52" s="104">
        <v>8</v>
      </c>
      <c r="G52" s="11"/>
      <c r="H52" s="114"/>
    </row>
    <row r="53" s="90" customFormat="1" spans="1:8">
      <c r="A53" s="102">
        <f t="shared" si="0"/>
        <v>52</v>
      </c>
      <c r="B53" s="103" t="s">
        <v>29</v>
      </c>
      <c r="C53" s="103" t="s">
        <v>74</v>
      </c>
      <c r="D53" s="104">
        <v>720002131</v>
      </c>
      <c r="E53" s="113">
        <v>0.18</v>
      </c>
      <c r="F53" s="104">
        <v>7</v>
      </c>
      <c r="G53" s="11"/>
      <c r="H53" s="115"/>
    </row>
    <row r="54" s="90" customFormat="1" spans="1:8">
      <c r="A54" s="102">
        <f t="shared" si="0"/>
        <v>53</v>
      </c>
      <c r="B54" s="103" t="s">
        <v>75</v>
      </c>
      <c r="C54" s="103" t="s">
        <v>76</v>
      </c>
      <c r="D54" s="104">
        <v>720002036</v>
      </c>
      <c r="E54" s="116">
        <v>0.18</v>
      </c>
      <c r="F54" s="104">
        <v>98</v>
      </c>
      <c r="G54" s="11"/>
      <c r="H54" s="114"/>
    </row>
    <row r="55" s="90" customFormat="1" spans="1:8">
      <c r="A55" s="102">
        <f t="shared" si="0"/>
        <v>54</v>
      </c>
      <c r="B55" s="111" t="s">
        <v>75</v>
      </c>
      <c r="C55" s="111" t="s">
        <v>77</v>
      </c>
      <c r="D55" s="109">
        <v>720002035</v>
      </c>
      <c r="E55" s="116">
        <v>0.18</v>
      </c>
      <c r="F55" s="104">
        <v>110</v>
      </c>
      <c r="G55" s="11"/>
      <c r="H55" s="115"/>
    </row>
    <row r="56" s="90" customFormat="1" spans="1:8">
      <c r="A56" s="102">
        <f t="shared" si="0"/>
        <v>55</v>
      </c>
      <c r="B56" s="105" t="s">
        <v>75</v>
      </c>
      <c r="C56" s="11" t="s">
        <v>78</v>
      </c>
      <c r="D56" s="106">
        <v>720002031</v>
      </c>
      <c r="E56" s="116">
        <v>0.18</v>
      </c>
      <c r="F56" s="104">
        <v>65</v>
      </c>
      <c r="G56" s="11"/>
      <c r="H56" s="115"/>
    </row>
    <row r="57" s="90" customFormat="1" spans="1:8">
      <c r="A57" s="102">
        <f t="shared" si="0"/>
        <v>56</v>
      </c>
      <c r="B57" s="105" t="s">
        <v>75</v>
      </c>
      <c r="C57" s="11" t="s">
        <v>79</v>
      </c>
      <c r="D57" s="106">
        <v>720002030</v>
      </c>
      <c r="E57" s="116">
        <v>0.18</v>
      </c>
      <c r="F57" s="104">
        <v>45</v>
      </c>
      <c r="G57" s="11"/>
      <c r="H57" s="114"/>
    </row>
    <row r="58" s="98" customFormat="1" spans="1:8">
      <c r="A58" s="102">
        <f t="shared" si="0"/>
        <v>57</v>
      </c>
      <c r="B58" s="103" t="s">
        <v>75</v>
      </c>
      <c r="C58" s="103" t="s">
        <v>80</v>
      </c>
      <c r="D58" s="104">
        <v>720001758</v>
      </c>
      <c r="E58" s="116">
        <v>0.18</v>
      </c>
      <c r="F58" s="104" t="e">
        <v>#N/A</v>
      </c>
      <c r="G58" s="11"/>
      <c r="H58" s="114"/>
    </row>
    <row r="59" s="90" customFormat="1" spans="1:8">
      <c r="A59" s="102">
        <f t="shared" si="0"/>
        <v>58</v>
      </c>
      <c r="B59" s="111" t="s">
        <v>75</v>
      </c>
      <c r="C59" s="108" t="s">
        <v>81</v>
      </c>
      <c r="D59" s="109">
        <v>720001998</v>
      </c>
      <c r="E59" s="116">
        <v>0.18</v>
      </c>
      <c r="F59" s="104">
        <v>48</v>
      </c>
      <c r="G59" s="11"/>
      <c r="H59" s="115"/>
    </row>
    <row r="60" s="90" customFormat="1" spans="1:8">
      <c r="A60" s="102">
        <f t="shared" si="0"/>
        <v>59</v>
      </c>
      <c r="B60" s="105" t="s">
        <v>75</v>
      </c>
      <c r="C60" s="11" t="s">
        <v>82</v>
      </c>
      <c r="D60" s="106">
        <v>720001999</v>
      </c>
      <c r="E60" s="116">
        <v>0.18</v>
      </c>
      <c r="F60" s="104">
        <v>58</v>
      </c>
      <c r="G60" s="11"/>
      <c r="H60" s="115"/>
    </row>
    <row r="61" s="90" customFormat="1" spans="1:8">
      <c r="A61" s="102">
        <f t="shared" si="0"/>
        <v>60</v>
      </c>
      <c r="B61" s="105" t="s">
        <v>75</v>
      </c>
      <c r="C61" s="11" t="s">
        <v>83</v>
      </c>
      <c r="D61" s="106">
        <v>720002000</v>
      </c>
      <c r="E61" s="116">
        <v>0.18</v>
      </c>
      <c r="F61" s="104">
        <v>70</v>
      </c>
      <c r="G61" s="11"/>
      <c r="H61" s="114"/>
    </row>
    <row r="62" s="90" customFormat="1" spans="1:8">
      <c r="A62" s="102">
        <f t="shared" si="0"/>
        <v>61</v>
      </c>
      <c r="B62" s="105" t="s">
        <v>75</v>
      </c>
      <c r="C62" s="11" t="s">
        <v>84</v>
      </c>
      <c r="D62" s="106">
        <v>720001996</v>
      </c>
      <c r="E62" s="116">
        <v>0.18</v>
      </c>
      <c r="F62" s="104">
        <v>27</v>
      </c>
      <c r="G62" s="11"/>
      <c r="H62" s="114"/>
    </row>
    <row r="63" s="90" customFormat="1" spans="1:8">
      <c r="A63" s="102">
        <f t="shared" si="0"/>
        <v>62</v>
      </c>
      <c r="B63" s="105" t="s">
        <v>75</v>
      </c>
      <c r="C63" s="11" t="s">
        <v>85</v>
      </c>
      <c r="D63" s="106">
        <v>720001997</v>
      </c>
      <c r="E63" s="116">
        <v>0.18</v>
      </c>
      <c r="F63" s="104">
        <v>40</v>
      </c>
      <c r="G63" s="11"/>
      <c r="H63" s="114"/>
    </row>
    <row r="64" s="90" customFormat="1" spans="1:8">
      <c r="A64" s="102">
        <f t="shared" si="0"/>
        <v>63</v>
      </c>
      <c r="B64" s="105" t="s">
        <v>75</v>
      </c>
      <c r="C64" s="11" t="s">
        <v>86</v>
      </c>
      <c r="D64" s="106">
        <v>720001984</v>
      </c>
      <c r="E64" s="116">
        <v>0.18</v>
      </c>
      <c r="F64" s="104">
        <v>48</v>
      </c>
      <c r="G64" s="11"/>
      <c r="H64" s="114"/>
    </row>
    <row r="65" s="90" customFormat="1" spans="1:8">
      <c r="A65" s="102">
        <f t="shared" si="0"/>
        <v>64</v>
      </c>
      <c r="B65" s="105" t="s">
        <v>75</v>
      </c>
      <c r="C65" s="11" t="s">
        <v>87</v>
      </c>
      <c r="D65" s="106">
        <v>720001985</v>
      </c>
      <c r="E65" s="116">
        <v>0.18</v>
      </c>
      <c r="F65" s="104">
        <v>48</v>
      </c>
      <c r="G65" s="11"/>
      <c r="H65" s="114"/>
    </row>
    <row r="66" s="90" customFormat="1" spans="1:8">
      <c r="A66" s="102">
        <f t="shared" si="0"/>
        <v>65</v>
      </c>
      <c r="B66" s="105" t="s">
        <v>75</v>
      </c>
      <c r="C66" s="11" t="s">
        <v>88</v>
      </c>
      <c r="D66" s="106">
        <v>720001986</v>
      </c>
      <c r="E66" s="116">
        <v>0.18</v>
      </c>
      <c r="F66" s="104">
        <v>48</v>
      </c>
      <c r="G66" s="11"/>
      <c r="H66" s="114"/>
    </row>
    <row r="67" s="90" customFormat="1" spans="1:8">
      <c r="A67" s="102">
        <f t="shared" si="0"/>
        <v>66</v>
      </c>
      <c r="B67" s="105" t="s">
        <v>75</v>
      </c>
      <c r="C67" s="11" t="s">
        <v>89</v>
      </c>
      <c r="D67" s="106">
        <v>720001987</v>
      </c>
      <c r="E67" s="116">
        <v>0.18</v>
      </c>
      <c r="F67" s="104">
        <v>60</v>
      </c>
      <c r="G67" s="11"/>
      <c r="H67" s="114"/>
    </row>
    <row r="68" s="90" customFormat="1" spans="1:8">
      <c r="A68" s="102">
        <f t="shared" ref="A68:A131" si="1">A67+1</f>
        <v>67</v>
      </c>
      <c r="B68" s="103" t="s">
        <v>29</v>
      </c>
      <c r="C68" s="103" t="s">
        <v>90</v>
      </c>
      <c r="D68" s="104">
        <v>720002046</v>
      </c>
      <c r="E68" s="113">
        <v>0.18</v>
      </c>
      <c r="F68" s="104">
        <v>25</v>
      </c>
      <c r="G68" s="11"/>
      <c r="H68" s="114"/>
    </row>
    <row r="69" s="90" customFormat="1" spans="1:8">
      <c r="A69" s="102">
        <f t="shared" si="1"/>
        <v>68</v>
      </c>
      <c r="B69" s="103" t="s">
        <v>20</v>
      </c>
      <c r="C69" s="103" t="s">
        <v>91</v>
      </c>
      <c r="D69" s="104">
        <v>720002005</v>
      </c>
      <c r="E69" s="113">
        <v>0.18</v>
      </c>
      <c r="F69" s="104">
        <v>100</v>
      </c>
      <c r="G69" s="11"/>
      <c r="H69" s="115"/>
    </row>
    <row r="70" s="90" customFormat="1" spans="1:8">
      <c r="A70" s="102">
        <f t="shared" si="1"/>
        <v>69</v>
      </c>
      <c r="B70" s="105" t="s">
        <v>20</v>
      </c>
      <c r="C70" s="11" t="s">
        <v>92</v>
      </c>
      <c r="D70" s="106">
        <v>720002007</v>
      </c>
      <c r="E70" s="116">
        <v>0.18</v>
      </c>
      <c r="F70" s="104">
        <v>120</v>
      </c>
      <c r="G70" s="11"/>
      <c r="H70" s="114"/>
    </row>
    <row r="71" s="90" customFormat="1" spans="1:8">
      <c r="A71" s="102">
        <f t="shared" si="1"/>
        <v>70</v>
      </c>
      <c r="B71" s="103" t="s">
        <v>20</v>
      </c>
      <c r="C71" s="103" t="s">
        <v>93</v>
      </c>
      <c r="D71" s="104">
        <v>720002029</v>
      </c>
      <c r="E71" s="116">
        <v>0.18</v>
      </c>
      <c r="F71" s="104">
        <v>45</v>
      </c>
      <c r="G71" s="11"/>
      <c r="H71" s="115"/>
    </row>
    <row r="72" s="90" customFormat="1" spans="1:8">
      <c r="A72" s="102">
        <f t="shared" si="1"/>
        <v>71</v>
      </c>
      <c r="B72" s="103" t="s">
        <v>20</v>
      </c>
      <c r="C72" s="103" t="s">
        <v>94</v>
      </c>
      <c r="D72" s="104">
        <v>720002027</v>
      </c>
      <c r="E72" s="113">
        <v>0.18</v>
      </c>
      <c r="F72" s="104">
        <v>52</v>
      </c>
      <c r="G72" s="11"/>
      <c r="H72" s="115"/>
    </row>
    <row r="73" s="90" customFormat="1" spans="1:8">
      <c r="A73" s="102">
        <f t="shared" si="1"/>
        <v>72</v>
      </c>
      <c r="B73" s="103" t="s">
        <v>20</v>
      </c>
      <c r="C73" s="103" t="s">
        <v>95</v>
      </c>
      <c r="D73" s="104">
        <v>720002008</v>
      </c>
      <c r="E73" s="113">
        <v>0.18</v>
      </c>
      <c r="F73" s="104">
        <v>63</v>
      </c>
      <c r="G73" s="11"/>
      <c r="H73" s="115"/>
    </row>
    <row r="74" s="90" customFormat="1" spans="1:8">
      <c r="A74" s="102">
        <f t="shared" si="1"/>
        <v>73</v>
      </c>
      <c r="B74" s="103" t="s">
        <v>20</v>
      </c>
      <c r="C74" s="103" t="s">
        <v>96</v>
      </c>
      <c r="D74" s="104">
        <v>720002009</v>
      </c>
      <c r="E74" s="113">
        <v>0.18</v>
      </c>
      <c r="F74" s="104">
        <v>75</v>
      </c>
      <c r="G74" s="11"/>
      <c r="H74" s="115"/>
    </row>
    <row r="75" s="90" customFormat="1" spans="1:8">
      <c r="A75" s="102">
        <f t="shared" si="1"/>
        <v>74</v>
      </c>
      <c r="B75" s="103" t="s">
        <v>20</v>
      </c>
      <c r="C75" s="107" t="s">
        <v>97</v>
      </c>
      <c r="D75" s="104">
        <v>720002003</v>
      </c>
      <c r="E75" s="113">
        <v>0.18</v>
      </c>
      <c r="F75" s="104">
        <v>55</v>
      </c>
      <c r="G75" s="11"/>
      <c r="H75" s="115"/>
    </row>
    <row r="76" s="90" customFormat="1" spans="1:8">
      <c r="A76" s="102">
        <f t="shared" si="1"/>
        <v>75</v>
      </c>
      <c r="B76" s="103" t="s">
        <v>20</v>
      </c>
      <c r="C76" s="103" t="s">
        <v>98</v>
      </c>
      <c r="D76" s="104">
        <v>720002004</v>
      </c>
      <c r="E76" s="113">
        <v>0.18</v>
      </c>
      <c r="F76" s="104">
        <v>58</v>
      </c>
      <c r="G76" s="11"/>
      <c r="H76" s="115"/>
    </row>
    <row r="77" s="90" customFormat="1" spans="1:8">
      <c r="A77" s="102">
        <f t="shared" si="1"/>
        <v>76</v>
      </c>
      <c r="B77" s="105" t="s">
        <v>20</v>
      </c>
      <c r="C77" s="11" t="s">
        <v>99</v>
      </c>
      <c r="D77" s="106">
        <v>720002006</v>
      </c>
      <c r="E77" s="116">
        <v>0.18</v>
      </c>
      <c r="F77" s="104">
        <v>70</v>
      </c>
      <c r="G77" s="11"/>
      <c r="H77" s="115"/>
    </row>
    <row r="78" s="90" customFormat="1" spans="1:8">
      <c r="A78" s="102">
        <f t="shared" si="1"/>
        <v>77</v>
      </c>
      <c r="B78" s="105" t="s">
        <v>20</v>
      </c>
      <c r="C78" s="11" t="s">
        <v>100</v>
      </c>
      <c r="D78" s="106">
        <v>720002001</v>
      </c>
      <c r="E78" s="116">
        <v>0.18</v>
      </c>
      <c r="F78" s="104">
        <v>27</v>
      </c>
      <c r="G78" s="11"/>
      <c r="H78" s="114"/>
    </row>
    <row r="79" s="90" customFormat="1" spans="1:8">
      <c r="A79" s="102">
        <f t="shared" si="1"/>
        <v>78</v>
      </c>
      <c r="B79" s="105" t="s">
        <v>20</v>
      </c>
      <c r="C79" s="11" t="s">
        <v>101</v>
      </c>
      <c r="D79" s="106">
        <v>720002002</v>
      </c>
      <c r="E79" s="116">
        <v>0.18</v>
      </c>
      <c r="F79" s="104" t="s">
        <v>49</v>
      </c>
      <c r="G79" s="11"/>
      <c r="H79" s="114"/>
    </row>
    <row r="80" s="90" customFormat="1" spans="1:8">
      <c r="A80" s="102">
        <f t="shared" si="1"/>
        <v>79</v>
      </c>
      <c r="B80" s="105" t="s">
        <v>20</v>
      </c>
      <c r="C80" s="11" t="s">
        <v>102</v>
      </c>
      <c r="D80" s="106">
        <v>720001835</v>
      </c>
      <c r="E80" s="116">
        <v>0.18</v>
      </c>
      <c r="F80" s="104">
        <v>40</v>
      </c>
      <c r="G80" s="11"/>
      <c r="H80" s="114"/>
    </row>
    <row r="81" s="90" customFormat="1" spans="1:8">
      <c r="A81" s="102">
        <f t="shared" si="1"/>
        <v>80</v>
      </c>
      <c r="B81" s="103" t="s">
        <v>20</v>
      </c>
      <c r="C81" s="103" t="s">
        <v>103</v>
      </c>
      <c r="D81" s="104">
        <v>720001989</v>
      </c>
      <c r="E81" s="116">
        <v>0.18</v>
      </c>
      <c r="F81" s="104">
        <v>80</v>
      </c>
      <c r="G81" s="11"/>
      <c r="H81" s="114"/>
    </row>
    <row r="82" s="90" customFormat="1" spans="1:8">
      <c r="A82" s="102">
        <f t="shared" si="1"/>
        <v>81</v>
      </c>
      <c r="B82" s="103" t="s">
        <v>20</v>
      </c>
      <c r="C82" s="107" t="s">
        <v>104</v>
      </c>
      <c r="D82" s="104">
        <v>720001990</v>
      </c>
      <c r="E82" s="113">
        <v>0.18</v>
      </c>
      <c r="F82" s="104">
        <v>40</v>
      </c>
      <c r="G82" s="11"/>
      <c r="H82" s="115"/>
    </row>
    <row r="83" s="90" customFormat="1" spans="1:8">
      <c r="A83" s="102">
        <f t="shared" si="1"/>
        <v>82</v>
      </c>
      <c r="B83" s="103" t="s">
        <v>20</v>
      </c>
      <c r="C83" s="108" t="s">
        <v>105</v>
      </c>
      <c r="D83" s="109">
        <v>720001991</v>
      </c>
      <c r="E83" s="113">
        <v>0.18</v>
      </c>
      <c r="F83" s="104">
        <v>49</v>
      </c>
      <c r="G83" s="11"/>
      <c r="H83" s="115"/>
    </row>
    <row r="84" s="90" customFormat="1" spans="1:8">
      <c r="A84" s="102">
        <f t="shared" si="1"/>
        <v>83</v>
      </c>
      <c r="B84" s="103" t="s">
        <v>20</v>
      </c>
      <c r="C84" s="103" t="s">
        <v>106</v>
      </c>
      <c r="D84" s="104">
        <v>720002055</v>
      </c>
      <c r="E84" s="116">
        <v>0.18</v>
      </c>
      <c r="F84" s="104">
        <v>40</v>
      </c>
      <c r="G84" s="11"/>
      <c r="H84" s="114"/>
    </row>
    <row r="85" s="90" customFormat="1" spans="1:8">
      <c r="A85" s="102">
        <f t="shared" si="1"/>
        <v>84</v>
      </c>
      <c r="B85" s="103" t="s">
        <v>20</v>
      </c>
      <c r="C85" s="103" t="s">
        <v>107</v>
      </c>
      <c r="D85" s="104">
        <v>720002205</v>
      </c>
      <c r="E85" s="116">
        <v>0.18</v>
      </c>
      <c r="F85" s="104">
        <v>50</v>
      </c>
      <c r="G85" s="11"/>
      <c r="H85" s="115"/>
    </row>
    <row r="86" s="90" customFormat="1" spans="1:8">
      <c r="A86" s="102">
        <f t="shared" si="1"/>
        <v>85</v>
      </c>
      <c r="B86" s="105" t="s">
        <v>108</v>
      </c>
      <c r="C86" s="11" t="s">
        <v>109</v>
      </c>
      <c r="D86" s="106">
        <v>720002034</v>
      </c>
      <c r="E86" s="116">
        <v>0.18</v>
      </c>
      <c r="F86" s="104">
        <v>43</v>
      </c>
      <c r="G86" s="11"/>
      <c r="H86" s="115"/>
    </row>
    <row r="87" s="90" customFormat="1" spans="1:8">
      <c r="A87" s="102">
        <f t="shared" si="1"/>
        <v>86</v>
      </c>
      <c r="B87" s="105" t="s">
        <v>108</v>
      </c>
      <c r="C87" s="11" t="s">
        <v>110</v>
      </c>
      <c r="D87" s="106">
        <v>720001992</v>
      </c>
      <c r="E87" s="116">
        <v>0.18</v>
      </c>
      <c r="F87" s="104">
        <v>55</v>
      </c>
      <c r="G87" s="11"/>
      <c r="H87" s="114"/>
    </row>
    <row r="88" s="90" customFormat="1" spans="1:8">
      <c r="A88" s="102">
        <f t="shared" si="1"/>
        <v>87</v>
      </c>
      <c r="B88" s="105" t="s">
        <v>108</v>
      </c>
      <c r="C88" s="11" t="s">
        <v>111</v>
      </c>
      <c r="D88" s="106">
        <v>720002022</v>
      </c>
      <c r="E88" s="116">
        <v>0.18</v>
      </c>
      <c r="F88" s="104">
        <v>31</v>
      </c>
      <c r="G88" s="11"/>
      <c r="H88" s="114"/>
    </row>
    <row r="89" s="90" customFormat="1" spans="1:8">
      <c r="A89" s="102">
        <f t="shared" si="1"/>
        <v>88</v>
      </c>
      <c r="B89" s="105" t="s">
        <v>108</v>
      </c>
      <c r="C89" s="11" t="s">
        <v>112</v>
      </c>
      <c r="D89" s="106">
        <v>720001993</v>
      </c>
      <c r="E89" s="116">
        <v>0.18</v>
      </c>
      <c r="F89" s="104">
        <v>54</v>
      </c>
      <c r="G89" s="11"/>
      <c r="H89" s="114"/>
    </row>
    <row r="90" s="90" customFormat="1" spans="1:8">
      <c r="A90" s="102">
        <f t="shared" si="1"/>
        <v>89</v>
      </c>
      <c r="B90" s="105" t="s">
        <v>108</v>
      </c>
      <c r="C90" s="11" t="s">
        <v>113</v>
      </c>
      <c r="D90" s="106">
        <v>720001994</v>
      </c>
      <c r="E90" s="116">
        <v>0.18</v>
      </c>
      <c r="F90" s="104">
        <v>64</v>
      </c>
      <c r="G90" s="11"/>
      <c r="H90" s="114"/>
    </row>
    <row r="91" s="90" customFormat="1" spans="1:8">
      <c r="A91" s="102">
        <f t="shared" si="1"/>
        <v>90</v>
      </c>
      <c r="B91" s="105" t="s">
        <v>108</v>
      </c>
      <c r="C91" s="11" t="s">
        <v>114</v>
      </c>
      <c r="D91" s="106">
        <v>720002020</v>
      </c>
      <c r="E91" s="116">
        <v>0.18</v>
      </c>
      <c r="F91" s="104">
        <v>34</v>
      </c>
      <c r="G91" s="11"/>
      <c r="H91" s="114"/>
    </row>
    <row r="92" s="90" customFormat="1" spans="1:8">
      <c r="A92" s="102">
        <f t="shared" si="1"/>
        <v>91</v>
      </c>
      <c r="B92" s="105" t="s">
        <v>108</v>
      </c>
      <c r="C92" s="11" t="s">
        <v>115</v>
      </c>
      <c r="D92" s="106">
        <v>720001995</v>
      </c>
      <c r="E92" s="116">
        <v>0.18</v>
      </c>
      <c r="F92" s="104">
        <v>46</v>
      </c>
      <c r="G92" s="11"/>
      <c r="H92" s="114"/>
    </row>
    <row r="93" s="90" customFormat="1" spans="1:8">
      <c r="A93" s="102">
        <f t="shared" si="1"/>
        <v>92</v>
      </c>
      <c r="B93" s="105" t="s">
        <v>108</v>
      </c>
      <c r="C93" s="11" t="s">
        <v>116</v>
      </c>
      <c r="D93" s="106">
        <v>720002019</v>
      </c>
      <c r="E93" s="116">
        <v>0.18</v>
      </c>
      <c r="F93" s="104">
        <v>43</v>
      </c>
      <c r="G93" s="11"/>
      <c r="H93" s="114"/>
    </row>
    <row r="94" s="90" customFormat="1" spans="1:8">
      <c r="A94" s="102">
        <f t="shared" si="1"/>
        <v>93</v>
      </c>
      <c r="B94" s="105" t="s">
        <v>108</v>
      </c>
      <c r="C94" s="11" t="s">
        <v>117</v>
      </c>
      <c r="D94" s="106">
        <v>720002018</v>
      </c>
      <c r="E94" s="116">
        <v>0.18</v>
      </c>
      <c r="F94" s="104">
        <v>18</v>
      </c>
      <c r="G94" s="11"/>
      <c r="H94" s="114"/>
    </row>
    <row r="95" s="90" customFormat="1" spans="1:8">
      <c r="A95" s="102">
        <f t="shared" si="1"/>
        <v>94</v>
      </c>
      <c r="B95" s="103" t="s">
        <v>108</v>
      </c>
      <c r="C95" s="103" t="s">
        <v>118</v>
      </c>
      <c r="D95" s="104">
        <v>720002017</v>
      </c>
      <c r="E95" s="113">
        <v>0.18</v>
      </c>
      <c r="F95" s="104">
        <v>25</v>
      </c>
      <c r="G95" s="11"/>
      <c r="H95" s="115"/>
    </row>
    <row r="96" s="90" customFormat="1" spans="1:8">
      <c r="A96" s="102">
        <f t="shared" si="1"/>
        <v>95</v>
      </c>
      <c r="B96" s="103" t="s">
        <v>108</v>
      </c>
      <c r="C96" s="103" t="s">
        <v>119</v>
      </c>
      <c r="D96" s="104">
        <v>720001981</v>
      </c>
      <c r="E96" s="113">
        <v>0.18</v>
      </c>
      <c r="F96" s="104">
        <v>25</v>
      </c>
      <c r="G96" s="11"/>
      <c r="H96" s="115"/>
    </row>
    <row r="97" s="90" customFormat="1" spans="1:8">
      <c r="A97" s="102">
        <f t="shared" si="1"/>
        <v>96</v>
      </c>
      <c r="B97" s="103" t="s">
        <v>108</v>
      </c>
      <c r="C97" s="103" t="s">
        <v>120</v>
      </c>
      <c r="D97" s="104">
        <v>720001982</v>
      </c>
      <c r="E97" s="113">
        <v>0.18</v>
      </c>
      <c r="F97" s="104">
        <v>30</v>
      </c>
      <c r="G97" s="11"/>
      <c r="H97" s="115"/>
    </row>
    <row r="98" spans="1:8">
      <c r="A98" s="102">
        <f t="shared" si="1"/>
        <v>97</v>
      </c>
      <c r="B98" s="103" t="s">
        <v>108</v>
      </c>
      <c r="C98" s="103" t="s">
        <v>121</v>
      </c>
      <c r="D98" s="104">
        <v>720001983</v>
      </c>
      <c r="E98" s="113">
        <v>0.18</v>
      </c>
      <c r="F98" s="104">
        <v>31</v>
      </c>
      <c r="G98" s="11"/>
      <c r="H98" s="115"/>
    </row>
    <row r="99" spans="1:8">
      <c r="A99" s="102">
        <f t="shared" si="1"/>
        <v>98</v>
      </c>
      <c r="B99" s="103" t="s">
        <v>108</v>
      </c>
      <c r="C99" s="103" t="s">
        <v>122</v>
      </c>
      <c r="D99" s="104">
        <v>720001756</v>
      </c>
      <c r="E99" s="113">
        <v>0.18</v>
      </c>
      <c r="F99" s="104">
        <v>23</v>
      </c>
      <c r="G99" s="11"/>
      <c r="H99" s="114"/>
    </row>
    <row r="100" spans="1:8">
      <c r="A100" s="102">
        <f t="shared" si="1"/>
        <v>99</v>
      </c>
      <c r="B100" s="103" t="s">
        <v>123</v>
      </c>
      <c r="C100" s="103" t="s">
        <v>124</v>
      </c>
      <c r="D100" s="104">
        <v>720001131</v>
      </c>
      <c r="E100" s="113">
        <v>0.18</v>
      </c>
      <c r="F100" s="104" t="e">
        <v>#N/A</v>
      </c>
      <c r="G100" s="11"/>
      <c r="H100" s="114"/>
    </row>
    <row r="101" spans="1:8">
      <c r="A101" s="102">
        <f t="shared" si="1"/>
        <v>100</v>
      </c>
      <c r="B101" s="103" t="s">
        <v>125</v>
      </c>
      <c r="C101" s="103" t="s">
        <v>126</v>
      </c>
      <c r="D101" s="104">
        <v>720001905</v>
      </c>
      <c r="E101" s="113">
        <v>0.18</v>
      </c>
      <c r="F101" s="104" t="s">
        <v>49</v>
      </c>
      <c r="G101" s="11"/>
      <c r="H101" s="115"/>
    </row>
    <row r="102" spans="1:8">
      <c r="A102" s="102">
        <f t="shared" si="1"/>
        <v>101</v>
      </c>
      <c r="B102" s="103" t="s">
        <v>125</v>
      </c>
      <c r="C102" s="103" t="s">
        <v>127</v>
      </c>
      <c r="D102" s="104">
        <v>720000042</v>
      </c>
      <c r="E102" s="113">
        <v>0.18</v>
      </c>
      <c r="F102" s="104">
        <v>60</v>
      </c>
      <c r="G102" s="11"/>
      <c r="H102" s="115"/>
    </row>
    <row r="103" spans="1:8">
      <c r="A103" s="102">
        <f t="shared" si="1"/>
        <v>102</v>
      </c>
      <c r="B103" s="103" t="s">
        <v>125</v>
      </c>
      <c r="C103" s="103" t="s">
        <v>128</v>
      </c>
      <c r="D103" s="104">
        <v>720000029</v>
      </c>
      <c r="E103" s="113">
        <v>0.18</v>
      </c>
      <c r="F103" s="104">
        <v>14</v>
      </c>
      <c r="G103" s="11"/>
      <c r="H103" s="115"/>
    </row>
    <row r="104" spans="1:8">
      <c r="A104" s="102">
        <f t="shared" si="1"/>
        <v>103</v>
      </c>
      <c r="B104" s="103" t="s">
        <v>125</v>
      </c>
      <c r="C104" s="103" t="s">
        <v>129</v>
      </c>
      <c r="D104" s="104">
        <v>720000045</v>
      </c>
      <c r="E104" s="113">
        <v>0.18</v>
      </c>
      <c r="F104" s="104">
        <v>18</v>
      </c>
      <c r="G104" s="11"/>
      <c r="H104" s="115"/>
    </row>
    <row r="105" spans="1:8">
      <c r="A105" s="102">
        <f t="shared" si="1"/>
        <v>104</v>
      </c>
      <c r="B105" s="103" t="s">
        <v>125</v>
      </c>
      <c r="C105" s="103" t="s">
        <v>130</v>
      </c>
      <c r="D105" s="104">
        <v>720000046</v>
      </c>
      <c r="E105" s="113">
        <v>0.18</v>
      </c>
      <c r="F105" s="104">
        <v>30</v>
      </c>
      <c r="G105" s="11"/>
      <c r="H105" s="115"/>
    </row>
    <row r="106" spans="1:8">
      <c r="A106" s="102">
        <f t="shared" si="1"/>
        <v>105</v>
      </c>
      <c r="B106" s="103" t="s">
        <v>125</v>
      </c>
      <c r="C106" s="103" t="s">
        <v>131</v>
      </c>
      <c r="D106" s="104">
        <v>720000043</v>
      </c>
      <c r="E106" s="116">
        <v>0.18</v>
      </c>
      <c r="F106" s="104">
        <v>35</v>
      </c>
      <c r="G106" s="11"/>
      <c r="H106" s="115"/>
    </row>
    <row r="107" spans="1:8">
      <c r="A107" s="102">
        <f t="shared" si="1"/>
        <v>106</v>
      </c>
      <c r="B107" s="105" t="s">
        <v>125</v>
      </c>
      <c r="C107" s="11" t="s">
        <v>132</v>
      </c>
      <c r="D107" s="106">
        <v>720002215</v>
      </c>
      <c r="E107" s="116">
        <v>0.18</v>
      </c>
      <c r="F107" s="104">
        <v>35</v>
      </c>
      <c r="G107" s="11"/>
      <c r="H107" s="115"/>
    </row>
    <row r="108" spans="1:8">
      <c r="A108" s="102">
        <f t="shared" si="1"/>
        <v>107</v>
      </c>
      <c r="B108" s="105" t="s">
        <v>47</v>
      </c>
      <c r="C108" s="11" t="s">
        <v>133</v>
      </c>
      <c r="D108" s="106">
        <v>720002075</v>
      </c>
      <c r="E108" s="116">
        <v>0.18</v>
      </c>
      <c r="F108" s="104">
        <v>150</v>
      </c>
      <c r="G108" s="11"/>
      <c r="H108" s="114"/>
    </row>
    <row r="109" spans="1:8">
      <c r="A109" s="102">
        <f t="shared" si="1"/>
        <v>108</v>
      </c>
      <c r="B109" s="103" t="s">
        <v>16</v>
      </c>
      <c r="C109" s="103" t="s">
        <v>134</v>
      </c>
      <c r="D109" s="104">
        <v>720000051</v>
      </c>
      <c r="E109" s="116">
        <v>0.18</v>
      </c>
      <c r="F109" s="104">
        <v>450</v>
      </c>
      <c r="G109" s="11"/>
      <c r="H109" s="114"/>
    </row>
    <row r="110" spans="1:8">
      <c r="A110" s="102">
        <f t="shared" si="1"/>
        <v>109</v>
      </c>
      <c r="B110" s="105" t="s">
        <v>25</v>
      </c>
      <c r="C110" s="11" t="s">
        <v>135</v>
      </c>
      <c r="D110" s="106">
        <v>720001310</v>
      </c>
      <c r="E110" s="116">
        <v>0.18</v>
      </c>
      <c r="F110" s="104" t="e">
        <v>#N/A</v>
      </c>
      <c r="G110" s="11"/>
      <c r="H110" s="115"/>
    </row>
    <row r="111" spans="1:8">
      <c r="A111" s="102">
        <f t="shared" si="1"/>
        <v>110</v>
      </c>
      <c r="B111" s="103" t="s">
        <v>25</v>
      </c>
      <c r="C111" s="11" t="s">
        <v>136</v>
      </c>
      <c r="D111" s="106">
        <v>720001308</v>
      </c>
      <c r="E111" s="116">
        <v>0.18</v>
      </c>
      <c r="F111" s="104" t="e">
        <v>#N/A</v>
      </c>
      <c r="G111" s="11"/>
      <c r="H111" s="114"/>
    </row>
    <row r="112" spans="1:8">
      <c r="A112" s="102">
        <f t="shared" si="1"/>
        <v>111</v>
      </c>
      <c r="B112" s="105" t="s">
        <v>25</v>
      </c>
      <c r="C112" s="11" t="s">
        <v>137</v>
      </c>
      <c r="D112" s="106">
        <v>720000302</v>
      </c>
      <c r="E112" s="116">
        <v>0.18</v>
      </c>
      <c r="F112" s="104">
        <v>18</v>
      </c>
      <c r="G112" s="11"/>
      <c r="H112" s="114"/>
    </row>
    <row r="113" spans="1:8">
      <c r="A113" s="102">
        <f t="shared" si="1"/>
        <v>112</v>
      </c>
      <c r="B113" s="103" t="s">
        <v>25</v>
      </c>
      <c r="C113" s="11" t="s">
        <v>138</v>
      </c>
      <c r="D113" s="106">
        <v>720001492</v>
      </c>
      <c r="E113" s="116">
        <v>0.18</v>
      </c>
      <c r="F113" s="104">
        <v>65</v>
      </c>
      <c r="G113" s="11"/>
      <c r="H113" s="114"/>
    </row>
    <row r="114" spans="1:8">
      <c r="A114" s="102">
        <f t="shared" si="1"/>
        <v>113</v>
      </c>
      <c r="B114" s="103" t="s">
        <v>25</v>
      </c>
      <c r="C114" s="103" t="s">
        <v>139</v>
      </c>
      <c r="D114" s="104">
        <v>720000076</v>
      </c>
      <c r="E114" s="116">
        <v>0.18</v>
      </c>
      <c r="F114" s="104">
        <v>12</v>
      </c>
      <c r="G114" s="11"/>
      <c r="H114" s="114"/>
    </row>
    <row r="115" spans="1:8">
      <c r="A115" s="102">
        <f t="shared" si="1"/>
        <v>114</v>
      </c>
      <c r="B115" s="105" t="s">
        <v>25</v>
      </c>
      <c r="C115" s="11" t="s">
        <v>140</v>
      </c>
      <c r="D115" s="106">
        <v>720000322</v>
      </c>
      <c r="E115" s="116">
        <v>0.18</v>
      </c>
      <c r="F115" s="104">
        <v>25</v>
      </c>
      <c r="G115" s="11"/>
      <c r="H115" s="115"/>
    </row>
    <row r="116" spans="1:8">
      <c r="A116" s="102">
        <f t="shared" si="1"/>
        <v>115</v>
      </c>
      <c r="B116" s="103" t="s">
        <v>40</v>
      </c>
      <c r="C116" s="11" t="s">
        <v>141</v>
      </c>
      <c r="D116" s="106">
        <v>720000075</v>
      </c>
      <c r="E116" s="116">
        <v>0.18</v>
      </c>
      <c r="F116" s="104" t="e">
        <v>#N/A</v>
      </c>
      <c r="G116" s="11"/>
      <c r="H116" s="114"/>
    </row>
    <row r="117" spans="1:8">
      <c r="A117" s="102">
        <f t="shared" si="1"/>
        <v>116</v>
      </c>
      <c r="B117" s="105" t="s">
        <v>40</v>
      </c>
      <c r="C117" s="11" t="s">
        <v>142</v>
      </c>
      <c r="D117" s="106">
        <v>720000153</v>
      </c>
      <c r="E117" s="116">
        <v>0.18</v>
      </c>
      <c r="F117" s="104" t="e">
        <v>#N/A</v>
      </c>
      <c r="G117" s="11"/>
      <c r="H117" s="114"/>
    </row>
    <row r="118" spans="1:8">
      <c r="A118" s="102">
        <f t="shared" si="1"/>
        <v>117</v>
      </c>
      <c r="B118" s="103" t="s">
        <v>25</v>
      </c>
      <c r="C118" s="103" t="s">
        <v>143</v>
      </c>
      <c r="D118" s="104">
        <v>720001379</v>
      </c>
      <c r="E118" s="116">
        <v>0.18</v>
      </c>
      <c r="F118" s="104" t="e">
        <v>#N/A</v>
      </c>
      <c r="G118" s="11"/>
      <c r="H118" s="114"/>
    </row>
    <row r="119" spans="1:8">
      <c r="A119" s="102">
        <f t="shared" si="1"/>
        <v>118</v>
      </c>
      <c r="B119" s="105" t="s">
        <v>56</v>
      </c>
      <c r="C119" s="11" t="s">
        <v>144</v>
      </c>
      <c r="D119" s="106">
        <v>720000060</v>
      </c>
      <c r="E119" s="116">
        <v>0.18</v>
      </c>
      <c r="F119" s="104" t="e">
        <v>#N/A</v>
      </c>
      <c r="G119" s="11"/>
      <c r="H119" s="115"/>
    </row>
    <row r="120" spans="1:8">
      <c r="A120" s="102">
        <f t="shared" si="1"/>
        <v>119</v>
      </c>
      <c r="B120" s="105" t="s">
        <v>56</v>
      </c>
      <c r="C120" s="11" t="s">
        <v>145</v>
      </c>
      <c r="D120" s="106">
        <v>720001915</v>
      </c>
      <c r="E120" s="116">
        <v>0.18</v>
      </c>
      <c r="F120" s="104" t="e">
        <v>#N/A</v>
      </c>
      <c r="G120" s="11"/>
      <c r="H120" s="114"/>
    </row>
    <row r="121" spans="1:8">
      <c r="A121" s="102">
        <f t="shared" si="1"/>
        <v>120</v>
      </c>
      <c r="B121" s="105" t="s">
        <v>123</v>
      </c>
      <c r="C121" s="11" t="s">
        <v>146</v>
      </c>
      <c r="D121" s="106">
        <v>720001487</v>
      </c>
      <c r="E121" s="116">
        <v>0.18</v>
      </c>
      <c r="F121" s="104" t="e">
        <v>#N/A</v>
      </c>
      <c r="G121" s="11"/>
      <c r="H121" s="114"/>
    </row>
    <row r="122" spans="1:8">
      <c r="A122" s="102">
        <f t="shared" si="1"/>
        <v>121</v>
      </c>
      <c r="B122" s="105" t="s">
        <v>9</v>
      </c>
      <c r="C122" s="11" t="s">
        <v>147</v>
      </c>
      <c r="D122" s="106">
        <v>720001807</v>
      </c>
      <c r="E122" s="116">
        <v>0.18</v>
      </c>
      <c r="F122" s="104" t="e">
        <v>#N/A</v>
      </c>
      <c r="G122" s="11"/>
      <c r="H122" s="114"/>
    </row>
    <row r="123" spans="1:8">
      <c r="A123" s="102">
        <f t="shared" si="1"/>
        <v>122</v>
      </c>
      <c r="B123" s="105" t="s">
        <v>9</v>
      </c>
      <c r="C123" s="11" t="s">
        <v>148</v>
      </c>
      <c r="D123" s="106">
        <v>720001806</v>
      </c>
      <c r="E123" s="116">
        <v>0.18</v>
      </c>
      <c r="F123" s="104" t="e">
        <v>#N/A</v>
      </c>
      <c r="G123" s="11"/>
      <c r="H123" s="114"/>
    </row>
    <row r="124" spans="1:8">
      <c r="A124" s="102">
        <f t="shared" si="1"/>
        <v>123</v>
      </c>
      <c r="B124" s="105" t="s">
        <v>40</v>
      </c>
      <c r="C124" s="11" t="s">
        <v>149</v>
      </c>
      <c r="D124" s="106">
        <v>720001956</v>
      </c>
      <c r="E124" s="116">
        <v>0.18</v>
      </c>
      <c r="F124" s="104" t="e">
        <v>#N/A</v>
      </c>
      <c r="G124" s="11"/>
      <c r="H124" s="114"/>
    </row>
    <row r="125" spans="1:8">
      <c r="A125" s="102">
        <f t="shared" si="1"/>
        <v>124</v>
      </c>
      <c r="B125" s="103" t="s">
        <v>40</v>
      </c>
      <c r="C125" s="103" t="s">
        <v>150</v>
      </c>
      <c r="D125" s="104">
        <v>720001729</v>
      </c>
      <c r="E125" s="113">
        <v>0.18</v>
      </c>
      <c r="F125" s="104" t="e">
        <v>#N/A</v>
      </c>
      <c r="G125" s="11"/>
      <c r="H125" s="114"/>
    </row>
    <row r="126" spans="1:8">
      <c r="A126" s="102">
        <f t="shared" si="1"/>
        <v>125</v>
      </c>
      <c r="B126" s="103" t="s">
        <v>40</v>
      </c>
      <c r="C126" s="103" t="s">
        <v>151</v>
      </c>
      <c r="D126" s="104">
        <v>720001727</v>
      </c>
      <c r="E126" s="113">
        <v>0.18</v>
      </c>
      <c r="F126" s="104" t="e">
        <v>#N/A</v>
      </c>
      <c r="G126" s="11"/>
      <c r="H126" s="115"/>
    </row>
    <row r="127" spans="1:8">
      <c r="A127" s="102">
        <f t="shared" si="1"/>
        <v>126</v>
      </c>
      <c r="B127" s="103" t="s">
        <v>40</v>
      </c>
      <c r="C127" s="103" t="s">
        <v>152</v>
      </c>
      <c r="D127" s="104">
        <v>720001738</v>
      </c>
      <c r="E127" s="116">
        <v>0.18</v>
      </c>
      <c r="F127" s="104" t="e">
        <v>#N/A</v>
      </c>
      <c r="G127" s="11"/>
      <c r="H127" s="115"/>
    </row>
    <row r="128" spans="1:8">
      <c r="A128" s="102">
        <f t="shared" si="1"/>
        <v>127</v>
      </c>
      <c r="B128" s="111" t="s">
        <v>153</v>
      </c>
      <c r="C128" s="108" t="s">
        <v>154</v>
      </c>
      <c r="D128" s="109">
        <v>7000490</v>
      </c>
      <c r="E128" s="116">
        <v>0.18</v>
      </c>
      <c r="F128" s="104" t="e">
        <v>#N/A</v>
      </c>
      <c r="G128" s="11"/>
      <c r="H128" s="115"/>
    </row>
    <row r="129" spans="1:8">
      <c r="A129" s="102">
        <f t="shared" si="1"/>
        <v>128</v>
      </c>
      <c r="B129" s="105" t="s">
        <v>155</v>
      </c>
      <c r="C129" s="11" t="s">
        <v>156</v>
      </c>
      <c r="D129" s="106">
        <v>720001955</v>
      </c>
      <c r="E129" s="116">
        <v>0.18</v>
      </c>
      <c r="F129" s="104" t="e">
        <v>#N/A</v>
      </c>
      <c r="G129" s="11"/>
      <c r="H129" s="115"/>
    </row>
    <row r="130" spans="1:8">
      <c r="A130" s="102">
        <f t="shared" si="1"/>
        <v>129</v>
      </c>
      <c r="B130" s="105" t="s">
        <v>157</v>
      </c>
      <c r="C130" s="11" t="s">
        <v>158</v>
      </c>
      <c r="D130" s="106">
        <v>720001859</v>
      </c>
      <c r="E130" s="116">
        <v>0.18</v>
      </c>
      <c r="F130" s="104" t="e">
        <v>#N/A</v>
      </c>
      <c r="G130" s="11"/>
      <c r="H130" s="114"/>
    </row>
    <row r="131" spans="1:8">
      <c r="A131" s="102">
        <f t="shared" si="1"/>
        <v>130</v>
      </c>
      <c r="B131" s="105" t="s">
        <v>9</v>
      </c>
      <c r="C131" s="11" t="s">
        <v>159</v>
      </c>
      <c r="D131" s="106">
        <v>720001396</v>
      </c>
      <c r="E131" s="116">
        <v>0.18</v>
      </c>
      <c r="F131" s="104" t="e">
        <v>#N/A</v>
      </c>
      <c r="G131" s="11"/>
      <c r="H131" s="114"/>
    </row>
    <row r="132" spans="1:8">
      <c r="A132" s="102">
        <f t="shared" ref="A132:A195" si="2">A131+1</f>
        <v>131</v>
      </c>
      <c r="B132" s="105" t="s">
        <v>160</v>
      </c>
      <c r="C132" s="11" t="s">
        <v>161</v>
      </c>
      <c r="D132" s="106">
        <v>720001945</v>
      </c>
      <c r="E132" s="116">
        <v>0.18</v>
      </c>
      <c r="F132" s="104" t="e">
        <v>#N/A</v>
      </c>
      <c r="G132" s="11"/>
      <c r="H132" s="114"/>
    </row>
    <row r="133" spans="1:8">
      <c r="A133" s="102">
        <f t="shared" si="2"/>
        <v>132</v>
      </c>
      <c r="B133" s="103" t="s">
        <v>123</v>
      </c>
      <c r="C133" s="103" t="s">
        <v>162</v>
      </c>
      <c r="D133" s="104">
        <v>720001855</v>
      </c>
      <c r="E133" s="113">
        <v>0.18</v>
      </c>
      <c r="F133" s="104" t="e">
        <v>#N/A</v>
      </c>
      <c r="G133" s="11"/>
      <c r="H133" s="114"/>
    </row>
    <row r="134" spans="1:8">
      <c r="A134" s="102">
        <f t="shared" si="2"/>
        <v>133</v>
      </c>
      <c r="B134" s="103" t="s">
        <v>123</v>
      </c>
      <c r="C134" s="11" t="s">
        <v>163</v>
      </c>
      <c r="D134" s="106">
        <v>720001857</v>
      </c>
      <c r="E134" s="116">
        <v>0.18</v>
      </c>
      <c r="F134" s="104" t="e">
        <v>#N/A</v>
      </c>
      <c r="G134" s="11"/>
      <c r="H134" s="115"/>
    </row>
    <row r="135" spans="1:8">
      <c r="A135" s="102">
        <f t="shared" si="2"/>
        <v>134</v>
      </c>
      <c r="B135" s="103" t="s">
        <v>123</v>
      </c>
      <c r="C135" s="103" t="s">
        <v>164</v>
      </c>
      <c r="D135" s="104">
        <v>720001856</v>
      </c>
      <c r="E135" s="113">
        <v>0.18</v>
      </c>
      <c r="F135" s="104" t="e">
        <v>#N/A</v>
      </c>
      <c r="G135" s="11"/>
      <c r="H135" s="114"/>
    </row>
    <row r="136" spans="1:8">
      <c r="A136" s="102">
        <f t="shared" si="2"/>
        <v>135</v>
      </c>
      <c r="B136" s="103" t="s">
        <v>40</v>
      </c>
      <c r="C136" s="103" t="s">
        <v>165</v>
      </c>
      <c r="D136" s="104">
        <v>720001712</v>
      </c>
      <c r="E136" s="113">
        <v>0.18</v>
      </c>
      <c r="F136" s="104" t="e">
        <v>#N/A</v>
      </c>
      <c r="G136" s="11"/>
      <c r="H136" s="115"/>
    </row>
    <row r="137" spans="1:8">
      <c r="A137" s="102">
        <f t="shared" si="2"/>
        <v>136</v>
      </c>
      <c r="B137" s="103" t="s">
        <v>40</v>
      </c>
      <c r="C137" s="11" t="s">
        <v>166</v>
      </c>
      <c r="D137" s="106">
        <v>720001713</v>
      </c>
      <c r="E137" s="116">
        <v>0.18</v>
      </c>
      <c r="F137" s="104" t="e">
        <v>#N/A</v>
      </c>
      <c r="G137" s="11"/>
      <c r="H137" s="115"/>
    </row>
    <row r="138" spans="1:8">
      <c r="A138" s="102">
        <f t="shared" si="2"/>
        <v>137</v>
      </c>
      <c r="B138" s="103" t="s">
        <v>40</v>
      </c>
      <c r="C138" s="108" t="s">
        <v>167</v>
      </c>
      <c r="D138" s="109">
        <v>720001877</v>
      </c>
      <c r="E138" s="113">
        <v>0.18</v>
      </c>
      <c r="F138" s="104" t="e">
        <v>#N/A</v>
      </c>
      <c r="G138" s="11"/>
      <c r="H138" s="115"/>
    </row>
    <row r="139" spans="1:8">
      <c r="A139" s="102">
        <f t="shared" si="2"/>
        <v>138</v>
      </c>
      <c r="B139" s="103" t="s">
        <v>40</v>
      </c>
      <c r="C139" s="103" t="s">
        <v>168</v>
      </c>
      <c r="D139" s="104">
        <v>720001876</v>
      </c>
      <c r="E139" s="113">
        <v>0.18</v>
      </c>
      <c r="F139" s="104" t="e">
        <v>#N/A</v>
      </c>
      <c r="G139" s="11"/>
      <c r="H139" s="115"/>
    </row>
    <row r="140" spans="1:8">
      <c r="A140" s="102">
        <f t="shared" si="2"/>
        <v>139</v>
      </c>
      <c r="B140" s="103" t="s">
        <v>40</v>
      </c>
      <c r="C140" s="103" t="s">
        <v>169</v>
      </c>
      <c r="D140" s="104">
        <v>720001878</v>
      </c>
      <c r="E140" s="113">
        <v>0.18</v>
      </c>
      <c r="F140" s="104" t="e">
        <v>#N/A</v>
      </c>
      <c r="G140" s="11"/>
      <c r="H140" s="115"/>
    </row>
    <row r="141" spans="1:8">
      <c r="A141" s="102">
        <f t="shared" si="2"/>
        <v>140</v>
      </c>
      <c r="B141" s="103" t="s">
        <v>40</v>
      </c>
      <c r="C141" s="107" t="s">
        <v>170</v>
      </c>
      <c r="D141" s="104">
        <v>720001731</v>
      </c>
      <c r="E141" s="113">
        <v>0.18</v>
      </c>
      <c r="F141" s="104" t="e">
        <v>#N/A</v>
      </c>
      <c r="G141" s="11"/>
      <c r="H141" s="115"/>
    </row>
    <row r="142" spans="1:8">
      <c r="A142" s="102">
        <f t="shared" si="2"/>
        <v>141</v>
      </c>
      <c r="B142" s="103" t="s">
        <v>40</v>
      </c>
      <c r="C142" s="103" t="s">
        <v>171</v>
      </c>
      <c r="D142" s="104">
        <v>720001730</v>
      </c>
      <c r="E142" s="113">
        <v>0.18</v>
      </c>
      <c r="F142" s="104" t="e">
        <v>#N/A</v>
      </c>
      <c r="G142" s="11"/>
      <c r="H142" s="115"/>
    </row>
    <row r="143" spans="1:8">
      <c r="A143" s="102">
        <f t="shared" si="2"/>
        <v>142</v>
      </c>
      <c r="B143" s="103" t="s">
        <v>40</v>
      </c>
      <c r="C143" s="103" t="s">
        <v>172</v>
      </c>
      <c r="D143" s="104">
        <v>720001355</v>
      </c>
      <c r="E143" s="113">
        <v>0.18</v>
      </c>
      <c r="F143" s="104" t="e">
        <v>#N/A</v>
      </c>
      <c r="G143" s="11"/>
      <c r="H143" s="115"/>
    </row>
    <row r="144" spans="1:8">
      <c r="A144" s="102">
        <f t="shared" si="2"/>
        <v>143</v>
      </c>
      <c r="B144" s="105" t="s">
        <v>123</v>
      </c>
      <c r="C144" s="11" t="s">
        <v>173</v>
      </c>
      <c r="D144" s="106">
        <v>720000116</v>
      </c>
      <c r="E144" s="116">
        <v>0.18</v>
      </c>
      <c r="F144" s="104" t="e">
        <v>#N/A</v>
      </c>
      <c r="G144" s="11"/>
      <c r="H144" s="114"/>
    </row>
    <row r="145" spans="1:8">
      <c r="A145" s="102">
        <f t="shared" si="2"/>
        <v>144</v>
      </c>
      <c r="B145" s="103" t="s">
        <v>40</v>
      </c>
      <c r="C145" s="103" t="s">
        <v>174</v>
      </c>
      <c r="D145" s="104">
        <v>720001719</v>
      </c>
      <c r="E145" s="113">
        <v>0.18</v>
      </c>
      <c r="F145" s="104" t="e">
        <v>#N/A</v>
      </c>
      <c r="G145" s="11"/>
      <c r="H145" s="114"/>
    </row>
    <row r="146" spans="1:8">
      <c r="A146" s="102">
        <f t="shared" si="2"/>
        <v>145</v>
      </c>
      <c r="B146" s="103" t="s">
        <v>40</v>
      </c>
      <c r="C146" s="103" t="s">
        <v>175</v>
      </c>
      <c r="D146" s="104">
        <v>720001718</v>
      </c>
      <c r="E146" s="113">
        <v>0.18</v>
      </c>
      <c r="F146" s="104" t="e">
        <v>#N/A</v>
      </c>
      <c r="G146" s="11"/>
      <c r="H146" s="114"/>
    </row>
    <row r="147" spans="1:8">
      <c r="A147" s="102">
        <f t="shared" si="2"/>
        <v>146</v>
      </c>
      <c r="B147" s="103" t="s">
        <v>40</v>
      </c>
      <c r="C147" s="103" t="s">
        <v>176</v>
      </c>
      <c r="D147" s="104">
        <v>720001717</v>
      </c>
      <c r="E147" s="113">
        <v>0.18</v>
      </c>
      <c r="F147" s="104" t="e">
        <v>#N/A</v>
      </c>
      <c r="G147" s="11"/>
      <c r="H147" s="115"/>
    </row>
    <row r="148" spans="1:8">
      <c r="A148" s="102">
        <f t="shared" si="2"/>
        <v>147</v>
      </c>
      <c r="B148" s="103" t="s">
        <v>40</v>
      </c>
      <c r="C148" s="108" t="s">
        <v>177</v>
      </c>
      <c r="D148" s="109">
        <v>720001716</v>
      </c>
      <c r="E148" s="113">
        <v>0.18</v>
      </c>
      <c r="F148" s="104" t="e">
        <v>#N/A</v>
      </c>
      <c r="G148" s="11"/>
      <c r="H148" s="115"/>
    </row>
    <row r="149" spans="1:8">
      <c r="A149" s="102">
        <f t="shared" si="2"/>
        <v>148</v>
      </c>
      <c r="B149" s="103" t="s">
        <v>40</v>
      </c>
      <c r="C149" s="103" t="s">
        <v>178</v>
      </c>
      <c r="D149" s="104">
        <v>720000152</v>
      </c>
      <c r="E149" s="113">
        <v>0.18</v>
      </c>
      <c r="F149" s="104" t="e">
        <v>#N/A</v>
      </c>
      <c r="G149" s="11"/>
      <c r="H149" s="114"/>
    </row>
    <row r="150" spans="1:8">
      <c r="A150" s="102">
        <f t="shared" si="2"/>
        <v>149</v>
      </c>
      <c r="B150" s="103" t="s">
        <v>40</v>
      </c>
      <c r="C150" s="107" t="s">
        <v>179</v>
      </c>
      <c r="D150" s="104">
        <v>720001706</v>
      </c>
      <c r="E150" s="113">
        <v>0.18</v>
      </c>
      <c r="F150" s="104" t="e">
        <v>#N/A</v>
      </c>
      <c r="G150" s="11"/>
      <c r="H150" s="115"/>
    </row>
    <row r="151" spans="1:8">
      <c r="A151" s="102">
        <f t="shared" si="2"/>
        <v>150</v>
      </c>
      <c r="B151" s="103" t="s">
        <v>40</v>
      </c>
      <c r="C151" s="103" t="s">
        <v>180</v>
      </c>
      <c r="D151" s="104">
        <v>720001860</v>
      </c>
      <c r="E151" s="113">
        <v>0.18</v>
      </c>
      <c r="F151" s="104" t="e">
        <v>#N/A</v>
      </c>
      <c r="G151" s="11"/>
      <c r="H151" s="115"/>
    </row>
    <row r="152" spans="1:8">
      <c r="A152" s="102">
        <f t="shared" si="2"/>
        <v>151</v>
      </c>
      <c r="B152" s="105" t="s">
        <v>40</v>
      </c>
      <c r="C152" s="11" t="s">
        <v>181</v>
      </c>
      <c r="D152" s="106">
        <v>720001710</v>
      </c>
      <c r="E152" s="116">
        <v>0.18</v>
      </c>
      <c r="F152" s="104" t="e">
        <v>#N/A</v>
      </c>
      <c r="G152" s="11"/>
      <c r="H152" s="115"/>
    </row>
    <row r="153" spans="1:8">
      <c r="A153" s="102">
        <f t="shared" si="2"/>
        <v>152</v>
      </c>
      <c r="B153" s="105" t="s">
        <v>25</v>
      </c>
      <c r="C153" s="11" t="s">
        <v>182</v>
      </c>
      <c r="D153" s="106">
        <v>720001316</v>
      </c>
      <c r="E153" s="116">
        <v>0.18</v>
      </c>
      <c r="F153" s="104" t="e">
        <v>#N/A</v>
      </c>
      <c r="G153" s="11"/>
      <c r="H153" s="114"/>
    </row>
    <row r="154" spans="1:8">
      <c r="A154" s="102">
        <f t="shared" si="2"/>
        <v>153</v>
      </c>
      <c r="B154" s="105" t="s">
        <v>20</v>
      </c>
      <c r="C154" s="11" t="s">
        <v>183</v>
      </c>
      <c r="D154" s="106">
        <v>720002028</v>
      </c>
      <c r="E154" s="116">
        <v>0.18</v>
      </c>
      <c r="F154" s="104" t="e">
        <v>#N/A</v>
      </c>
      <c r="G154" s="11"/>
      <c r="H154" s="114"/>
    </row>
    <row r="155" spans="1:8">
      <c r="A155" s="102">
        <f t="shared" si="2"/>
        <v>154</v>
      </c>
      <c r="B155" s="103" t="s">
        <v>40</v>
      </c>
      <c r="C155" s="103" t="s">
        <v>184</v>
      </c>
      <c r="D155" s="104">
        <v>720001709</v>
      </c>
      <c r="E155" s="116">
        <v>0.18</v>
      </c>
      <c r="F155" s="104" t="e">
        <v>#N/A</v>
      </c>
      <c r="G155" s="11"/>
      <c r="H155" s="114"/>
    </row>
    <row r="156" spans="1:8">
      <c r="A156" s="102">
        <f t="shared" si="2"/>
        <v>155</v>
      </c>
      <c r="B156" s="103" t="s">
        <v>40</v>
      </c>
      <c r="C156" s="103" t="s">
        <v>185</v>
      </c>
      <c r="D156" s="104">
        <v>720001707</v>
      </c>
      <c r="E156" s="116">
        <v>0.18</v>
      </c>
      <c r="F156" s="104" t="e">
        <v>#N/A</v>
      </c>
      <c r="G156" s="11"/>
      <c r="H156" s="115"/>
    </row>
    <row r="157" spans="1:8">
      <c r="A157" s="102">
        <f t="shared" si="2"/>
        <v>156</v>
      </c>
      <c r="B157" s="103" t="s">
        <v>25</v>
      </c>
      <c r="C157" s="103" t="s">
        <v>186</v>
      </c>
      <c r="D157" s="104">
        <v>720001469</v>
      </c>
      <c r="E157" s="116">
        <v>0.18</v>
      </c>
      <c r="F157" s="104" t="e">
        <v>#N/A</v>
      </c>
      <c r="G157" s="11"/>
      <c r="H157" s="115"/>
    </row>
    <row r="158" spans="1:8">
      <c r="A158" s="102">
        <f t="shared" si="2"/>
        <v>157</v>
      </c>
      <c r="B158" s="103" t="s">
        <v>9</v>
      </c>
      <c r="C158" s="103" t="s">
        <v>187</v>
      </c>
      <c r="D158" s="104">
        <v>720001590</v>
      </c>
      <c r="E158" s="116">
        <v>0.18</v>
      </c>
      <c r="F158" s="104" t="e">
        <v>#N/A</v>
      </c>
      <c r="G158" s="11"/>
      <c r="H158" s="115"/>
    </row>
    <row r="159" spans="1:8">
      <c r="A159" s="102">
        <f t="shared" si="2"/>
        <v>158</v>
      </c>
      <c r="B159" s="103" t="s">
        <v>123</v>
      </c>
      <c r="C159" s="103" t="s">
        <v>188</v>
      </c>
      <c r="D159" s="104">
        <v>720001490</v>
      </c>
      <c r="E159" s="116">
        <v>0.18</v>
      </c>
      <c r="F159" s="104" t="e">
        <v>#N/A</v>
      </c>
      <c r="G159" s="11"/>
      <c r="H159" s="115"/>
    </row>
    <row r="160" spans="1:8">
      <c r="A160" s="102">
        <f t="shared" si="2"/>
        <v>159</v>
      </c>
      <c r="B160" s="103" t="s">
        <v>123</v>
      </c>
      <c r="C160" s="11" t="s">
        <v>189</v>
      </c>
      <c r="D160" s="106">
        <v>720002456</v>
      </c>
      <c r="E160" s="116">
        <v>0.12</v>
      </c>
      <c r="F160" s="104" t="e">
        <v>#N/A</v>
      </c>
      <c r="G160" s="11"/>
      <c r="H160" s="115"/>
    </row>
    <row r="161" spans="1:8">
      <c r="A161" s="102">
        <f t="shared" si="2"/>
        <v>160</v>
      </c>
      <c r="B161" s="105" t="s">
        <v>25</v>
      </c>
      <c r="C161" s="11" t="s">
        <v>190</v>
      </c>
      <c r="D161" s="106">
        <v>720001465</v>
      </c>
      <c r="E161" s="116">
        <v>0.18</v>
      </c>
      <c r="F161" s="104" t="e">
        <v>#N/A</v>
      </c>
      <c r="G161" s="11"/>
      <c r="H161" s="114"/>
    </row>
    <row r="162" spans="1:8">
      <c r="A162" s="102">
        <f t="shared" si="2"/>
        <v>161</v>
      </c>
      <c r="B162" s="105" t="s">
        <v>40</v>
      </c>
      <c r="C162" s="11" t="s">
        <v>191</v>
      </c>
      <c r="D162" s="106">
        <v>720001724</v>
      </c>
      <c r="E162" s="116">
        <v>0.18</v>
      </c>
      <c r="F162" s="104" t="e">
        <v>#N/A</v>
      </c>
      <c r="G162" s="11"/>
      <c r="H162" s="114"/>
    </row>
    <row r="163" spans="1:8">
      <c r="A163" s="102">
        <f t="shared" si="2"/>
        <v>162</v>
      </c>
      <c r="B163" s="105" t="s">
        <v>123</v>
      </c>
      <c r="C163" s="11" t="s">
        <v>192</v>
      </c>
      <c r="D163" s="106">
        <v>720001489</v>
      </c>
      <c r="E163" s="116">
        <v>0.18</v>
      </c>
      <c r="F163" s="104" t="e">
        <v>#N/A</v>
      </c>
      <c r="G163" s="11"/>
      <c r="H163" s="114"/>
    </row>
    <row r="164" spans="1:8">
      <c r="A164" s="102">
        <f t="shared" si="2"/>
        <v>163</v>
      </c>
      <c r="B164" s="105" t="s">
        <v>40</v>
      </c>
      <c r="C164" s="11" t="s">
        <v>193</v>
      </c>
      <c r="D164" s="106">
        <v>720000271</v>
      </c>
      <c r="E164" s="116">
        <v>0.18</v>
      </c>
      <c r="F164" s="104" t="e">
        <v>#N/A</v>
      </c>
      <c r="G164" s="11"/>
      <c r="H164" s="114"/>
    </row>
    <row r="165" spans="1:8">
      <c r="A165" s="102">
        <f t="shared" si="2"/>
        <v>164</v>
      </c>
      <c r="B165" s="103" t="s">
        <v>44</v>
      </c>
      <c r="C165" s="103" t="s">
        <v>194</v>
      </c>
      <c r="D165" s="104">
        <v>720001937</v>
      </c>
      <c r="E165" s="116">
        <v>0.18</v>
      </c>
      <c r="F165" s="104" t="e">
        <v>#N/A</v>
      </c>
      <c r="G165" s="11"/>
      <c r="H165" s="114"/>
    </row>
    <row r="166" spans="1:8">
      <c r="A166" s="102">
        <f t="shared" si="2"/>
        <v>165</v>
      </c>
      <c r="B166" s="103" t="s">
        <v>44</v>
      </c>
      <c r="C166" s="103" t="s">
        <v>195</v>
      </c>
      <c r="D166" s="104">
        <v>720001936</v>
      </c>
      <c r="E166" s="113">
        <v>0.18</v>
      </c>
      <c r="F166" s="104" t="e">
        <v>#N/A</v>
      </c>
      <c r="G166" s="11"/>
      <c r="H166" s="115"/>
    </row>
    <row r="167" spans="1:8">
      <c r="A167" s="102">
        <f t="shared" si="2"/>
        <v>166</v>
      </c>
      <c r="B167" s="103" t="s">
        <v>44</v>
      </c>
      <c r="C167" s="108" t="s">
        <v>196</v>
      </c>
      <c r="D167" s="109">
        <v>720000106</v>
      </c>
      <c r="E167" s="113">
        <v>0.18</v>
      </c>
      <c r="F167" s="104" t="e">
        <v>#N/A</v>
      </c>
      <c r="G167" s="11"/>
      <c r="H167" s="115"/>
    </row>
    <row r="168" spans="1:8">
      <c r="A168" s="102">
        <f t="shared" si="2"/>
        <v>167</v>
      </c>
      <c r="B168" s="103" t="s">
        <v>44</v>
      </c>
      <c r="C168" s="103" t="s">
        <v>197</v>
      </c>
      <c r="D168" s="104">
        <v>720000105</v>
      </c>
      <c r="E168" s="113">
        <v>0.18</v>
      </c>
      <c r="F168" s="104" t="e">
        <v>#N/A</v>
      </c>
      <c r="G168" s="11"/>
      <c r="H168" s="115"/>
    </row>
    <row r="169" spans="1:8">
      <c r="A169" s="102">
        <f t="shared" si="2"/>
        <v>168</v>
      </c>
      <c r="B169" s="105" t="s">
        <v>44</v>
      </c>
      <c r="C169" s="11" t="s">
        <v>198</v>
      </c>
      <c r="D169" s="106">
        <v>720001397</v>
      </c>
      <c r="E169" s="116">
        <v>0.18</v>
      </c>
      <c r="F169" s="104" t="e">
        <v>#N/A</v>
      </c>
      <c r="G169" s="11"/>
      <c r="H169" s="115"/>
    </row>
    <row r="170" spans="1:8">
      <c r="A170" s="102">
        <f t="shared" si="2"/>
        <v>169</v>
      </c>
      <c r="B170" s="105" t="s">
        <v>27</v>
      </c>
      <c r="C170" s="11" t="s">
        <v>199</v>
      </c>
      <c r="D170" s="106">
        <v>720002198</v>
      </c>
      <c r="E170" s="116">
        <v>0.18</v>
      </c>
      <c r="F170" s="104" t="e">
        <v>#N/A</v>
      </c>
      <c r="G170" s="11"/>
      <c r="H170" s="114"/>
    </row>
    <row r="171" spans="1:8">
      <c r="A171" s="102">
        <f t="shared" si="2"/>
        <v>170</v>
      </c>
      <c r="B171" s="105" t="s">
        <v>200</v>
      </c>
      <c r="C171" s="11" t="s">
        <v>201</v>
      </c>
      <c r="D171" s="106">
        <v>720001191</v>
      </c>
      <c r="E171" s="116">
        <v>0.18</v>
      </c>
      <c r="F171" s="104" t="e">
        <v>#N/A</v>
      </c>
      <c r="G171" s="11"/>
      <c r="H171" s="114"/>
    </row>
    <row r="172" spans="1:8">
      <c r="A172" s="102">
        <f t="shared" si="2"/>
        <v>171</v>
      </c>
      <c r="B172" s="105" t="s">
        <v>202</v>
      </c>
      <c r="C172" s="11" t="s">
        <v>203</v>
      </c>
      <c r="D172" s="106">
        <v>7000220</v>
      </c>
      <c r="E172" s="116">
        <v>0.18</v>
      </c>
      <c r="F172" s="104" t="e">
        <v>#N/A</v>
      </c>
      <c r="G172" s="11"/>
      <c r="H172" s="114"/>
    </row>
    <row r="173" spans="1:8">
      <c r="A173" s="102">
        <f t="shared" si="2"/>
        <v>172</v>
      </c>
      <c r="B173" s="103" t="s">
        <v>9</v>
      </c>
      <c r="C173" s="103" t="s">
        <v>204</v>
      </c>
      <c r="D173" s="104">
        <v>720001808</v>
      </c>
      <c r="E173" s="113">
        <v>0.18</v>
      </c>
      <c r="F173" s="104" t="e">
        <v>#N/A</v>
      </c>
      <c r="G173" s="11"/>
      <c r="H173" s="114"/>
    </row>
    <row r="174" spans="1:8">
      <c r="A174" s="102">
        <f t="shared" si="2"/>
        <v>173</v>
      </c>
      <c r="B174" s="103" t="s">
        <v>123</v>
      </c>
      <c r="C174" s="103" t="s">
        <v>205</v>
      </c>
      <c r="D174" s="104">
        <v>720000239</v>
      </c>
      <c r="E174" s="113">
        <v>0.18</v>
      </c>
      <c r="F174" s="104" t="e">
        <v>#N/A</v>
      </c>
      <c r="G174" s="11"/>
      <c r="H174" s="115"/>
    </row>
    <row r="175" spans="1:8">
      <c r="A175" s="102">
        <f t="shared" si="2"/>
        <v>174</v>
      </c>
      <c r="B175" s="103" t="s">
        <v>40</v>
      </c>
      <c r="C175" s="103" t="s">
        <v>206</v>
      </c>
      <c r="D175" s="104">
        <v>720001708</v>
      </c>
      <c r="E175" s="113">
        <v>0.18</v>
      </c>
      <c r="F175" s="104" t="e">
        <v>#N/A</v>
      </c>
      <c r="G175" s="11"/>
      <c r="H175" s="115"/>
    </row>
    <row r="176" spans="1:8">
      <c r="A176" s="102">
        <f t="shared" si="2"/>
        <v>175</v>
      </c>
      <c r="B176" s="103" t="s">
        <v>123</v>
      </c>
      <c r="C176" s="103" t="s">
        <v>207</v>
      </c>
      <c r="D176" s="104">
        <v>720001456</v>
      </c>
      <c r="E176" s="113">
        <v>0.18</v>
      </c>
      <c r="F176" s="104" t="e">
        <v>#N/A</v>
      </c>
      <c r="G176" s="11"/>
      <c r="H176" s="115"/>
    </row>
    <row r="177" spans="1:8">
      <c r="A177" s="102">
        <f t="shared" si="2"/>
        <v>176</v>
      </c>
      <c r="B177" s="103" t="s">
        <v>40</v>
      </c>
      <c r="C177" s="103" t="s">
        <v>208</v>
      </c>
      <c r="D177" s="104">
        <v>720001390</v>
      </c>
      <c r="E177" s="113">
        <v>0.18</v>
      </c>
      <c r="F177" s="104" t="e">
        <v>#N/A</v>
      </c>
      <c r="G177" s="11"/>
      <c r="H177" s="115"/>
    </row>
    <row r="178" spans="1:8">
      <c r="A178" s="102">
        <f t="shared" si="2"/>
        <v>177</v>
      </c>
      <c r="B178" s="103" t="s">
        <v>44</v>
      </c>
      <c r="C178" s="103" t="s">
        <v>209</v>
      </c>
      <c r="D178" s="104">
        <v>720001445</v>
      </c>
      <c r="E178" s="113">
        <v>0.18</v>
      </c>
      <c r="F178" s="104" t="e">
        <v>#N/A</v>
      </c>
      <c r="G178" s="11"/>
      <c r="H178" s="115"/>
    </row>
    <row r="179" spans="1:8">
      <c r="A179" s="102">
        <f t="shared" si="2"/>
        <v>178</v>
      </c>
      <c r="B179" s="105" t="s">
        <v>123</v>
      </c>
      <c r="C179" s="11" t="s">
        <v>210</v>
      </c>
      <c r="D179" s="106">
        <v>720001486</v>
      </c>
      <c r="E179" s="116">
        <v>0.18</v>
      </c>
      <c r="F179" s="104" t="e">
        <v>#N/A</v>
      </c>
      <c r="G179" s="11"/>
      <c r="H179" s="115"/>
    </row>
    <row r="180" spans="1:8">
      <c r="A180" s="102">
        <f t="shared" si="2"/>
        <v>179</v>
      </c>
      <c r="B180" s="105" t="s">
        <v>40</v>
      </c>
      <c r="C180" s="11" t="s">
        <v>211</v>
      </c>
      <c r="D180" s="106">
        <v>720001723</v>
      </c>
      <c r="E180" s="116">
        <v>0.18</v>
      </c>
      <c r="F180" s="104" t="e">
        <v>#N/A</v>
      </c>
      <c r="G180" s="11"/>
      <c r="H180" s="114"/>
    </row>
    <row r="181" spans="1:8">
      <c r="A181" s="102">
        <f t="shared" si="2"/>
        <v>180</v>
      </c>
      <c r="B181" s="105" t="s">
        <v>212</v>
      </c>
      <c r="C181" s="11" t="s">
        <v>213</v>
      </c>
      <c r="D181" s="106">
        <v>720001686</v>
      </c>
      <c r="E181" s="116">
        <v>0.18</v>
      </c>
      <c r="F181" s="104" t="e">
        <v>#N/A</v>
      </c>
      <c r="G181" s="11"/>
      <c r="H181" s="114"/>
    </row>
    <row r="182" spans="1:8">
      <c r="A182" s="102">
        <f t="shared" si="2"/>
        <v>181</v>
      </c>
      <c r="B182" s="105" t="s">
        <v>200</v>
      </c>
      <c r="C182" s="11" t="s">
        <v>214</v>
      </c>
      <c r="D182" s="106">
        <v>720002132</v>
      </c>
      <c r="E182" s="116">
        <v>0.18</v>
      </c>
      <c r="F182" s="104" t="e">
        <v>#N/A</v>
      </c>
      <c r="G182" s="11"/>
      <c r="H182" s="114"/>
    </row>
    <row r="183" spans="1:8">
      <c r="A183" s="102">
        <f t="shared" si="2"/>
        <v>182</v>
      </c>
      <c r="B183" s="105" t="s">
        <v>27</v>
      </c>
      <c r="C183" s="11" t="s">
        <v>215</v>
      </c>
      <c r="D183" s="106">
        <v>720002227</v>
      </c>
      <c r="E183" s="116">
        <v>0.18</v>
      </c>
      <c r="F183" s="104" t="e">
        <v>#N/A</v>
      </c>
      <c r="G183" s="11"/>
      <c r="H183" s="114"/>
    </row>
    <row r="184" spans="1:8">
      <c r="A184" s="102">
        <f t="shared" si="2"/>
        <v>183</v>
      </c>
      <c r="B184" s="103" t="s">
        <v>153</v>
      </c>
      <c r="C184" s="11" t="s">
        <v>216</v>
      </c>
      <c r="D184" s="106">
        <v>720001897</v>
      </c>
      <c r="E184" s="116">
        <v>0.18</v>
      </c>
      <c r="F184" s="104" t="e">
        <v>#N/A</v>
      </c>
      <c r="G184" s="11"/>
      <c r="H184" s="114"/>
    </row>
    <row r="185" spans="1:8">
      <c r="A185" s="102">
        <f t="shared" si="2"/>
        <v>184</v>
      </c>
      <c r="B185" s="103" t="s">
        <v>56</v>
      </c>
      <c r="C185" s="11" t="s">
        <v>217</v>
      </c>
      <c r="D185" s="106">
        <v>720001785</v>
      </c>
      <c r="E185" s="116">
        <v>0.18</v>
      </c>
      <c r="F185" s="104" t="e">
        <v>#N/A</v>
      </c>
      <c r="G185" s="11"/>
      <c r="H185" s="114"/>
    </row>
    <row r="186" spans="1:8">
      <c r="A186" s="102">
        <f t="shared" si="2"/>
        <v>185</v>
      </c>
      <c r="B186" s="103" t="s">
        <v>123</v>
      </c>
      <c r="C186" s="11" t="s">
        <v>218</v>
      </c>
      <c r="D186" s="106" t="s">
        <v>219</v>
      </c>
      <c r="E186" s="116">
        <v>0.18</v>
      </c>
      <c r="F186" s="104" t="e">
        <v>#N/A</v>
      </c>
      <c r="G186" s="11"/>
      <c r="H186" s="114"/>
    </row>
    <row r="187" spans="1:8">
      <c r="A187" s="102">
        <f t="shared" si="2"/>
        <v>186</v>
      </c>
      <c r="B187" s="103" t="s">
        <v>40</v>
      </c>
      <c r="C187" s="11" t="s">
        <v>220</v>
      </c>
      <c r="D187" s="106">
        <v>720001736</v>
      </c>
      <c r="E187" s="116">
        <v>0.18</v>
      </c>
      <c r="F187" s="104" t="e">
        <v>#N/A</v>
      </c>
      <c r="G187" s="11"/>
      <c r="H187" s="114"/>
    </row>
    <row r="188" spans="1:8">
      <c r="A188" s="102">
        <f t="shared" si="2"/>
        <v>187</v>
      </c>
      <c r="B188" s="103" t="s">
        <v>40</v>
      </c>
      <c r="C188" s="11" t="s">
        <v>221</v>
      </c>
      <c r="D188" s="106">
        <v>720001734</v>
      </c>
      <c r="E188" s="116">
        <v>0.18</v>
      </c>
      <c r="F188" s="104" t="e">
        <v>#N/A</v>
      </c>
      <c r="G188" s="11"/>
      <c r="H188" s="114"/>
    </row>
    <row r="189" spans="1:8">
      <c r="A189" s="102">
        <f t="shared" si="2"/>
        <v>188</v>
      </c>
      <c r="B189" s="103" t="s">
        <v>40</v>
      </c>
      <c r="C189" s="11" t="s">
        <v>222</v>
      </c>
      <c r="D189" s="106">
        <v>720001735</v>
      </c>
      <c r="E189" s="116">
        <v>0.18</v>
      </c>
      <c r="F189" s="104" t="e">
        <v>#N/A</v>
      </c>
      <c r="G189" s="11"/>
      <c r="H189" s="114"/>
    </row>
    <row r="190" spans="1:8">
      <c r="A190" s="102">
        <f t="shared" si="2"/>
        <v>189</v>
      </c>
      <c r="B190" s="103" t="s">
        <v>56</v>
      </c>
      <c r="C190" s="11" t="s">
        <v>223</v>
      </c>
      <c r="D190" s="106">
        <v>720002015</v>
      </c>
      <c r="E190" s="116">
        <v>0.18</v>
      </c>
      <c r="F190" s="104" t="e">
        <v>#N/A</v>
      </c>
      <c r="G190" s="11"/>
      <c r="H190" s="114"/>
    </row>
    <row r="191" spans="1:8">
      <c r="A191" s="102">
        <f t="shared" si="2"/>
        <v>190</v>
      </c>
      <c r="B191" s="103" t="s">
        <v>123</v>
      </c>
      <c r="C191" s="11" t="s">
        <v>224</v>
      </c>
      <c r="D191" s="106">
        <v>720001307</v>
      </c>
      <c r="E191" s="116">
        <v>0.18</v>
      </c>
      <c r="F191" s="104" t="e">
        <v>#N/A</v>
      </c>
      <c r="G191" s="11"/>
      <c r="H191" s="114"/>
    </row>
    <row r="192" spans="1:8">
      <c r="A192" s="102">
        <f t="shared" si="2"/>
        <v>191</v>
      </c>
      <c r="B192" s="103" t="s">
        <v>123</v>
      </c>
      <c r="C192" s="11" t="s">
        <v>225</v>
      </c>
      <c r="D192" s="106">
        <v>720001858</v>
      </c>
      <c r="E192" s="116">
        <v>0.18</v>
      </c>
      <c r="F192" s="104" t="e">
        <v>#N/A</v>
      </c>
      <c r="G192" s="11"/>
      <c r="H192" s="114"/>
    </row>
    <row r="193" spans="1:8">
      <c r="A193" s="102">
        <f t="shared" si="2"/>
        <v>192</v>
      </c>
      <c r="B193" s="103" t="s">
        <v>123</v>
      </c>
      <c r="C193" s="11" t="s">
        <v>226</v>
      </c>
      <c r="D193" s="106">
        <v>720001488</v>
      </c>
      <c r="E193" s="116">
        <v>0.18</v>
      </c>
      <c r="F193" s="104" t="e">
        <v>#N/A</v>
      </c>
      <c r="G193" s="11"/>
      <c r="H193" s="114"/>
    </row>
    <row r="194" spans="1:8">
      <c r="A194" s="102">
        <f t="shared" si="2"/>
        <v>193</v>
      </c>
      <c r="B194" s="103" t="s">
        <v>25</v>
      </c>
      <c r="C194" s="11" t="s">
        <v>227</v>
      </c>
      <c r="D194" s="106">
        <v>720001493</v>
      </c>
      <c r="E194" s="116">
        <v>0.18</v>
      </c>
      <c r="F194" s="118">
        <v>12</v>
      </c>
      <c r="G194" s="11"/>
      <c r="H194" s="114"/>
    </row>
    <row r="195" spans="1:8">
      <c r="A195" s="102">
        <f t="shared" si="2"/>
        <v>194</v>
      </c>
      <c r="B195" s="103"/>
      <c r="C195" s="11"/>
      <c r="D195" s="106"/>
      <c r="E195" s="116"/>
      <c r="F195" s="118" t="e">
        <v>#N/A</v>
      </c>
      <c r="G195" s="11"/>
      <c r="H195" s="114"/>
    </row>
    <row r="196" spans="1:8">
      <c r="A196" s="102">
        <f t="shared" ref="A196:A200" si="3">A195+1</f>
        <v>195</v>
      </c>
      <c r="B196" s="103"/>
      <c r="C196" s="11"/>
      <c r="D196" s="106"/>
      <c r="E196" s="116"/>
      <c r="F196" s="118" t="e">
        <v>#N/A</v>
      </c>
      <c r="G196" s="11"/>
      <c r="H196" s="114"/>
    </row>
    <row r="197" spans="1:8">
      <c r="A197" s="102">
        <f t="shared" si="3"/>
        <v>196</v>
      </c>
      <c r="B197" s="103"/>
      <c r="C197" s="11"/>
      <c r="D197" s="106"/>
      <c r="E197" s="116"/>
      <c r="F197" s="118" t="e">
        <v>#N/A</v>
      </c>
      <c r="G197" s="11"/>
      <c r="H197" s="114"/>
    </row>
    <row r="198" spans="1:8">
      <c r="A198" s="102">
        <f t="shared" si="3"/>
        <v>197</v>
      </c>
      <c r="B198" s="103"/>
      <c r="C198" s="11"/>
      <c r="D198" s="106"/>
      <c r="E198" s="116"/>
      <c r="F198" s="118" t="e">
        <v>#N/A</v>
      </c>
      <c r="G198" s="11"/>
      <c r="H198" s="114"/>
    </row>
    <row r="199" spans="1:8">
      <c r="A199" s="102">
        <f t="shared" si="3"/>
        <v>198</v>
      </c>
      <c r="B199" s="103"/>
      <c r="C199" s="11"/>
      <c r="D199" s="106"/>
      <c r="E199" s="116"/>
      <c r="F199" s="118" t="e">
        <v>#N/A</v>
      </c>
      <c r="G199" s="11"/>
      <c r="H199" s="114"/>
    </row>
    <row r="200" spans="1:8">
      <c r="A200" s="102">
        <f t="shared" si="3"/>
        <v>199</v>
      </c>
      <c r="B200" s="103"/>
      <c r="C200" s="11"/>
      <c r="D200" s="106"/>
      <c r="E200" s="116"/>
      <c r="F200" s="118" t="e">
        <v>#N/A</v>
      </c>
      <c r="G200" s="11"/>
      <c r="H200" s="114"/>
    </row>
  </sheetData>
  <sheetProtection sheet="1" formatCells="0" formatColumns="0" formatRows="0" insertRows="0" insertColumns="0" insertHyperlinks="0" deleteColumns="0" deleteRows="0" sort="0" autoFilter="0" pivotTables="0"/>
  <sortState ref="A2:I201">
    <sortCondition ref="C2"/>
  </sortState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B102"/>
  <sheetViews>
    <sheetView workbookViewId="0">
      <selection activeCell="A1" sqref="$A1:$XFD1048576"/>
    </sheetView>
  </sheetViews>
  <sheetFormatPr defaultColWidth="9" defaultRowHeight="16.8"/>
  <cols>
    <col min="2" max="2" width="16.546875" customWidth="1"/>
    <col min="3" max="3" width="19.6328125" customWidth="1"/>
  </cols>
  <sheetData>
    <row r="3" spans="2:3">
      <c r="B3" t="s">
        <v>228</v>
      </c>
      <c r="C3" t="s">
        <v>229</v>
      </c>
    </row>
    <row r="4" spans="2:6">
      <c r="B4" t="s">
        <v>40</v>
      </c>
      <c r="F4" t="str">
        <f ca="1">OFFSET($C$10,MATCH($B$4,$B$11:$B$37,0),,,COUNTIF(OFFSET($C$10,MATCH($B$4,$B$11:$B$37,0),,1,40),"?*"))</f>
        <v>Aluminium Profile Fabric LIT Box</v>
      </c>
    </row>
    <row r="9" spans="13:13">
      <c r="M9" t="str">
        <f>'Article Master'!C6</f>
        <v>Acrylic Brand Plate 750mm X 250mm</v>
      </c>
    </row>
    <row r="10" spans="1:2">
      <c r="A10" t="s">
        <v>230</v>
      </c>
      <c r="B10" s="97" t="s">
        <v>1</v>
      </c>
    </row>
    <row r="11" spans="1:80">
      <c r="A11">
        <f>COUNTIF(Table1[Details],B11)</f>
        <v>13</v>
      </c>
      <c r="B11" s="97" t="str">
        <f>IFERROR(INDEX(Table1[Details],MATCH(0,INDEX(COUNTIF($B$10:B10,Table1[Details]),),0)),"")</f>
        <v>Acrylic</v>
      </c>
      <c r="C11" t="str">
        <f>IF(COLUMNS($C$10:C10)&lt;=$A11,INDEX(Table1[[PARTICULAR]:[PARTICULAR]],_xlfn.AGGREGATE(15,3,(Table1[[#This Row],[Details]:[Details]]=$B11)/(Table1[[#This Row],[Details]:[Details]]=$B11)*(ROW(Table1[[Details]:[Details]])-ROW(Table1[[#Headers],[Details]])),COLUMNS($C$10:C10))),"")</f>
        <v>3MM CLEAR ACRYLIC WITH LASER CUT</v>
      </c>
      <c r="D11" t="str">
        <f>IF(COLUMNS($C$10:D10)&lt;=$A11,INDEX(Table1[[PARTICULAR]:[PARTICULAR]],_xlfn.AGGREGATE(15,3,(Table1[[#This Row],[Details]:[Details]]=$B11)/(Table1[[#This Row],[Details]:[Details]]=$B11)*(ROW(Table1[[Details]:[Details]])-ROW(Table1[[#Headers],[Details]])),COLUMNS($C$10:D10))),"")</f>
        <v>5mm Acrylic Sheet with Laser cutting</v>
      </c>
      <c r="E11" t="str">
        <f>IF(COLUMNS($C$10:E10)&lt;=$A11,INDEX(Table1[[PARTICULAR]:[PARTICULAR]],_xlfn.AGGREGATE(15,3,(Table1[[#This Row],[Details]:[Details]]=$B11)/(Table1[[#This Row],[Details]:[Details]]=$B11)*(ROW(Table1[[Details]:[Details]])-ROW(Table1[[#Headers],[Details]])),COLUMNS($C$10:E10))),"")</f>
        <v>Acrylic Brand Plate 1200mm X 400mm</v>
      </c>
      <c r="F11" t="str">
        <f>IF(COLUMNS($C$10:F10)&lt;=$A11,INDEX(Table1[[PARTICULAR]:[PARTICULAR]],_xlfn.AGGREGATE(15,3,(Table1[[#This Row],[Details]:[Details]]=$B11)/(Table1[[#This Row],[Details]:[Details]]=$B11)*(ROW(Table1[[Details]:[Details]])-ROW(Table1[[#Headers],[Details]])),COLUMNS($C$10:F10))),"")</f>
        <v>Acrylic Brand Plate 450mmX150MM</v>
      </c>
      <c r="G11" t="str">
        <f>IF(COLUMNS($C$10:G10)&lt;=$A11,INDEX(Table1[[PARTICULAR]:[PARTICULAR]],_xlfn.AGGREGATE(15,3,(Table1[[#This Row],[Details]:[Details]]=$B11)/(Table1[[#This Row],[Details]:[Details]]=$B11)*(ROW(Table1[[Details]:[Details]])-ROW(Table1[[#Headers],[Details]])),COLUMNS($C$10:G10))),"")</f>
        <v>Acrylic Brand Plate 750mm X 250mm</v>
      </c>
      <c r="H11" t="str">
        <f>IF(COLUMNS($C$10:H10)&lt;=$A11,INDEX(Table1[[PARTICULAR]:[PARTICULAR]],_xlfn.AGGREGATE(15,3,(Table1[[#This Row],[Details]:[Details]]=$B11)/(Table1[[#This Row],[Details]:[Details]]=$B11)*(ROW(Table1[[Details]:[Details]])-ROW(Table1[[#Headers],[Details]])),COLUMNS($C$10:H10))),"")</f>
        <v>Acrylic Brand Plate 900mm X 300mm</v>
      </c>
      <c r="I11" t="str">
        <f>IF(COLUMNS($C$10:I10)&lt;=$A11,INDEX(Table1[[PARTICULAR]:[PARTICULAR]],_xlfn.AGGREGATE(15,3,(Table1[[#This Row],[Details]:[Details]]=$B11)/(Table1[[#This Row],[Details]:[Details]]=$B11)*(ROW(Table1[[Details]:[Details]])-ROW(Table1[[#Headers],[Details]])),COLUMNS($C$10:I10))),"")</f>
        <v>LIT Brand Plate with Vinyl</v>
      </c>
      <c r="J11" t="str">
        <f>IF(COLUMNS($C$10:J10)&lt;=$A11,INDEX(Table1[[PARTICULAR]:[PARTICULAR]],_xlfn.AGGREGATE(15,3,(Table1[[#This Row],[Details]:[Details]]=$B11)/(Table1[[#This Row],[Details]:[Details]]=$B11)*(ROW(Table1[[Details]:[Details]])-ROW(Table1[[#Headers],[Details]])),COLUMNS($C$10:J10))),"")</f>
        <v>LIT Brand Plate with Duco Paint</v>
      </c>
      <c r="K11" t="str">
        <f>IF(COLUMNS($C$10:K10)&lt;=$A11,INDEX(Table1[[PARTICULAR]:[PARTICULAR]],_xlfn.AGGREGATE(15,3,(Table1[[#This Row],[Details]:[Details]]=$B11)/(Table1[[#This Row],[Details]:[Details]]=$B11)*(ROW(Table1[[Details]:[Details]])-ROW(Table1[[#Headers],[Details]])),COLUMNS($C$10:K10))),"")</f>
        <v>Acrylic Tags </v>
      </c>
      <c r="L11" t="str">
        <f>IF(COLUMNS($C$10:L10)&lt;=$A11,INDEX(Table1[[PARTICULAR]:[PARTICULAR]],_xlfn.AGGREGATE(15,3,(Table1[[#This Row],[Details]:[Details]]=$B11)/(Table1[[#This Row],[Details]:[Details]]=$B11)*(ROW(Table1[[Details]:[Details]])-ROW(Table1[[#Headers],[Details]])),COLUMNS($C$10:L10))),"")</f>
        <v>Acrylic Tags Browsers</v>
      </c>
      <c r="M11" t="str">
        <f>IF(COLUMNS($C$10:M10)&lt;=$A11,INDEX(Table1[[PARTICULAR]:[PARTICULAR]],_xlfn.AGGREGATE(15,3,(Table1[[#This Row],[Details]:[Details]]=$B11)/(Table1[[#This Row],[Details]:[Details]]=$B11)*(ROW(Table1[[Details]:[Details]])-ROW(Table1[[#Headers],[Details]])),COLUMNS($C$10:M10))),"")</f>
        <v>CASH COUNTER LOGO</v>
      </c>
      <c r="N11" t="str">
        <f>IF(COLUMNS($C$10:N10)&lt;=$A11,INDEX(Table1[[PARTICULAR]:[PARTICULAR]],_xlfn.AGGREGATE(15,3,(Table1[[#This Row],[Details]:[Details]]=$B11)/(Table1[[#This Row],[Details]:[Details]]=$B11)*(ROW(Table1[[Details]:[Details]])-ROW(Table1[[#Headers],[Details]])),COLUMNS($C$10:N10))),"")</f>
        <v>LIT BRAND PLATE</v>
      </c>
      <c r="O11" t="str">
        <f>IF(COLUMNS($C$10:O10)&lt;=$A11,INDEX(Table1[[PARTICULAR]:[PARTICULAR]],_xlfn.AGGREGATE(15,3,(Table1[[#This Row],[Details]:[Details]]=$B11)/(Table1[[#This Row],[Details]:[Details]]=$B11)*(ROW(Table1[[Details]:[Details]])-ROW(Table1[[#Headers],[Details]])),COLUMNS($C$10:O10))),"")</f>
        <v>Polycarbonate Tags </v>
      </c>
      <c r="P11" t="str">
        <f>IF(COLUMNS($C$10:P10)&lt;=$A11,INDEX(Table1[[PARTICULAR]:[PARTICULAR]],_xlfn.AGGREGATE(15,3,(Table1[[#This Row],[Details]:[Details]]=$B11)/(Table1[[#This Row],[Details]:[Details]]=$B11)*(ROW(Table1[[Details]:[Details]])-ROW(Table1[[#Headers],[Details]])),COLUMNS($C$10:P10))),"")</f>
        <v/>
      </c>
      <c r="Q11" t="str">
        <f>IF(COLUMNS($C$10:Q10)&lt;=$A11,INDEX(Table1[[PARTICULAR]:[PARTICULAR]],_xlfn.AGGREGATE(15,3,(Table1[[#This Row],[Details]:[Details]]=$B11)/(Table1[[#This Row],[Details]:[Details]]=$B11)*(ROW(Table1[[Details]:[Details]])-ROW(Table1[[#Headers],[Details]])),COLUMNS($C$10:Q10))),"")</f>
        <v/>
      </c>
      <c r="R11" t="str">
        <f>IF(COLUMNS($C$10:R10)&lt;=$A11,INDEX(Table1[[PARTICULAR]:[PARTICULAR]],_xlfn.AGGREGATE(15,3,(Table1[[#This Row],[Details]:[Details]]=$B11)/(Table1[[#This Row],[Details]:[Details]]=$B11)*(ROW(Table1[[Details]:[Details]])-ROW(Table1[[#Headers],[Details]])),COLUMNS($C$10:R10))),"")</f>
        <v/>
      </c>
      <c r="S11" t="str">
        <f>IF(COLUMNS($C$10:S10)&lt;=$A11,INDEX(Table1[[PARTICULAR]:[PARTICULAR]],_xlfn.AGGREGATE(15,3,(Table1[[#This Row],[Details]:[Details]]=$B11)/(Table1[[#This Row],[Details]:[Details]]=$B11)*(ROW(Table1[[Details]:[Details]])-ROW(Table1[[#Headers],[Details]])),COLUMNS($C$10:S10))),"")</f>
        <v/>
      </c>
      <c r="T11" t="str">
        <f>IF(COLUMNS($C$10:T10)&lt;=$A11,INDEX(Table1[[PARTICULAR]:[PARTICULAR]],_xlfn.AGGREGATE(15,3,(Table1[[#This Row],[Details]:[Details]]=$B11)/(Table1[[#This Row],[Details]:[Details]]=$B11)*(ROW(Table1[[Details]:[Details]])-ROW(Table1[[#Headers],[Details]])),COLUMNS($C$10:T10))),"")</f>
        <v/>
      </c>
      <c r="U11" t="str">
        <f>IF(COLUMNS($C$10:U10)&lt;=$A11,INDEX(Table1[[PARTICULAR]:[PARTICULAR]],_xlfn.AGGREGATE(15,3,(Table1[[#This Row],[Details]:[Details]]=$B11)/(Table1[[#This Row],[Details]:[Details]]=$B11)*(ROW(Table1[[Details]:[Details]])-ROW(Table1[[#Headers],[Details]])),COLUMNS($C$10:U10))),"")</f>
        <v/>
      </c>
      <c r="V11" t="str">
        <f>IF(COLUMNS($C$10:V10)&lt;=$A11,INDEX(Table1[[PARTICULAR]:[PARTICULAR]],_xlfn.AGGREGATE(15,3,(Table1[[#This Row],[Details]:[Details]]=$B11)/(Table1[[#This Row],[Details]:[Details]]=$B11)*(ROW(Table1[[Details]:[Details]])-ROW(Table1[[#Headers],[Details]])),COLUMNS($C$10:V10))),"")</f>
        <v/>
      </c>
      <c r="W11" t="str">
        <f>IF(COLUMNS($C$10:W10)&lt;=$A11,INDEX(Table1[[PARTICULAR]:[PARTICULAR]],_xlfn.AGGREGATE(15,3,(Table1[[#This Row],[Details]:[Details]]=$B11)/(Table1[[#This Row],[Details]:[Details]]=$B11)*(ROW(Table1[[Details]:[Details]])-ROW(Table1[[#Headers],[Details]])),COLUMNS($C$10:W10))),"")</f>
        <v/>
      </c>
      <c r="X11" t="str">
        <f>IF(COLUMNS($C$10:X10)&lt;=$A11,INDEX(Table1[[PARTICULAR]:[PARTICULAR]],_xlfn.AGGREGATE(15,3,(Table1[[#This Row],[Details]:[Details]]=$B11)/(Table1[[#This Row],[Details]:[Details]]=$B11)*(ROW(Table1[[Details]:[Details]])-ROW(Table1[[#Headers],[Details]])),COLUMNS($C$10:X10))),"")</f>
        <v/>
      </c>
      <c r="Y11" t="str">
        <f>IF(COLUMNS($C$10:Y10)&lt;=$A11,INDEX(Table1[[PARTICULAR]:[PARTICULAR]],_xlfn.AGGREGATE(15,3,(Table1[[#This Row],[Details]:[Details]]=$B11)/(Table1[[#This Row],[Details]:[Details]]=$B11)*(ROW(Table1[[Details]:[Details]])-ROW(Table1[[#Headers],[Details]])),COLUMNS($C$10:Y10))),"")</f>
        <v/>
      </c>
      <c r="Z11" t="str">
        <f>IF(COLUMNS($C$10:Z10)&lt;=$A11,INDEX(Table1[[PARTICULAR]:[PARTICULAR]],_xlfn.AGGREGATE(15,3,(Table1[[#This Row],[Details]:[Details]]=$B11)/(Table1[[#This Row],[Details]:[Details]]=$B11)*(ROW(Table1[[Details]:[Details]])-ROW(Table1[[#Headers],[Details]])),COLUMNS($C$10:Z10))),"")</f>
        <v/>
      </c>
      <c r="AA11" t="str">
        <f>IF(COLUMNS($C$10:AA10)&lt;=$A11,INDEX(Table1[[PARTICULAR]:[PARTICULAR]],_xlfn.AGGREGATE(15,3,(Table1[[#This Row],[Details]:[Details]]=$B11)/(Table1[[#This Row],[Details]:[Details]]=$B11)*(ROW(Table1[[Details]:[Details]])-ROW(Table1[[#Headers],[Details]])),COLUMNS($C$10:AA10))),"")</f>
        <v/>
      </c>
      <c r="AB11" t="str">
        <f>IF(COLUMNS($C$10:AB10)&lt;=$A11,INDEX(Table1[[PARTICULAR]:[PARTICULAR]],_xlfn.AGGREGATE(15,3,(Table1[[#This Row],[Details]:[Details]]=$B11)/(Table1[[#This Row],[Details]:[Details]]=$B11)*(ROW(Table1[[Details]:[Details]])-ROW(Table1[[#Headers],[Details]])),COLUMNS($C$10:AB10))),"")</f>
        <v/>
      </c>
      <c r="AC11" t="str">
        <f>IF(COLUMNS($C$10:AC10)&lt;=$A11,INDEX(Table1[[PARTICULAR]:[PARTICULAR]],_xlfn.AGGREGATE(15,3,(Table1[[#This Row],[Details]:[Details]]=$B11)/(Table1[[#This Row],[Details]:[Details]]=$B11)*(ROW(Table1[[Details]:[Details]])-ROW(Table1[[#Headers],[Details]])),COLUMNS($C$10:AC10))),"")</f>
        <v/>
      </c>
      <c r="AD11" t="str">
        <f>IF(COLUMNS($C$10:AD10)&lt;=$A11,INDEX(Table1[[PARTICULAR]:[PARTICULAR]],_xlfn.AGGREGATE(15,3,(Table1[[#This Row],[Details]:[Details]]=$B11)/(Table1[[#This Row],[Details]:[Details]]=$B11)*(ROW(Table1[[Details]:[Details]])-ROW(Table1[[#Headers],[Details]])),COLUMNS($C$10:AD10))),"")</f>
        <v/>
      </c>
      <c r="AE11" t="str">
        <f>IF(COLUMNS($C$10:AE10)&lt;=$A11,INDEX(Table1[[PARTICULAR]:[PARTICULAR]],_xlfn.AGGREGATE(15,3,(Table1[[#This Row],[Details]:[Details]]=$B11)/(Table1[[#This Row],[Details]:[Details]]=$B11)*(ROW(Table1[[Details]:[Details]])-ROW(Table1[[#Headers],[Details]])),COLUMNS($C$10:AE10))),"")</f>
        <v/>
      </c>
      <c r="AF11" t="str">
        <f>IF(COLUMNS($C$10:AF10)&lt;=$A11,INDEX(Table1[[PARTICULAR]:[PARTICULAR]],_xlfn.AGGREGATE(15,3,(Table1[[#This Row],[Details]:[Details]]=$B11)/(Table1[[#This Row],[Details]:[Details]]=$B11)*(ROW(Table1[[Details]:[Details]])-ROW(Table1[[#Headers],[Details]])),COLUMNS($C$10:AF10))),"")</f>
        <v/>
      </c>
      <c r="AG11" t="str">
        <f>IF(COLUMNS($C$10:AG10)&lt;=$A11,INDEX(Table1[[PARTICULAR]:[PARTICULAR]],_xlfn.AGGREGATE(15,3,(Table1[[#This Row],[Details]:[Details]]=$B11)/(Table1[[#This Row],[Details]:[Details]]=$B11)*(ROW(Table1[[Details]:[Details]])-ROW(Table1[[#Headers],[Details]])),COLUMNS($C$10:AG10))),"")</f>
        <v/>
      </c>
      <c r="AH11" t="str">
        <f>IF(COLUMNS($C$10:AH10)&lt;=$A11,INDEX(Table1[[PARTICULAR]:[PARTICULAR]],_xlfn.AGGREGATE(15,3,(Table1[[#This Row],[Details]:[Details]]=$B11)/(Table1[[#This Row],[Details]:[Details]]=$B11)*(ROW(Table1[[Details]:[Details]])-ROW(Table1[[#Headers],[Details]])),COLUMNS($C$10:AH10))),"")</f>
        <v/>
      </c>
      <c r="AI11" t="str">
        <f>IF(COLUMNS($C$10:AI10)&lt;=$A11,INDEX(Table1[[PARTICULAR]:[PARTICULAR]],_xlfn.AGGREGATE(15,3,(Table1[[#This Row],[Details]:[Details]]=$B11)/(Table1[[#This Row],[Details]:[Details]]=$B11)*(ROW(Table1[[Details]:[Details]])-ROW(Table1[[#Headers],[Details]])),COLUMNS($C$10:AI10))),"")</f>
        <v/>
      </c>
      <c r="AJ11" t="str">
        <f>IF(COLUMNS($C$10:AJ10)&lt;=$A11,INDEX(Table1[[PARTICULAR]:[PARTICULAR]],_xlfn.AGGREGATE(15,3,(Table1[[#This Row],[Details]:[Details]]=$B11)/(Table1[[#This Row],[Details]:[Details]]=$B11)*(ROW(Table1[[Details]:[Details]])-ROW(Table1[[#Headers],[Details]])),COLUMNS($C$10:AJ10))),"")</f>
        <v/>
      </c>
      <c r="AK11" t="str">
        <f>IF(COLUMNS($C$10:AK10)&lt;=$A11,INDEX(Table1[[PARTICULAR]:[PARTICULAR]],_xlfn.AGGREGATE(15,3,(Table1[[#This Row],[Details]:[Details]]=$B11)/(Table1[[#This Row],[Details]:[Details]]=$B11)*(ROW(Table1[[Details]:[Details]])-ROW(Table1[[#Headers],[Details]])),COLUMNS($C$10:AK10))),"")</f>
        <v/>
      </c>
      <c r="AL11" t="str">
        <f>IF(COLUMNS($C$10:AL10)&lt;=$A11,INDEX(Table1[[PARTICULAR]:[PARTICULAR]],_xlfn.AGGREGATE(15,3,(Table1[[#This Row],[Details]:[Details]]=$B11)/(Table1[[#This Row],[Details]:[Details]]=$B11)*(ROW(Table1[[Details]:[Details]])-ROW(Table1[[#Headers],[Details]])),COLUMNS($C$10:AL10))),"")</f>
        <v/>
      </c>
      <c r="AM11" t="str">
        <f>IF(COLUMNS($C$10:AM10)&lt;=$A11,INDEX(Table1[[PARTICULAR]:[PARTICULAR]],_xlfn.AGGREGATE(15,3,(Table1[[#This Row],[Details]:[Details]]=$B11)/(Table1[[#This Row],[Details]:[Details]]=$B11)*(ROW(Table1[[Details]:[Details]])-ROW(Table1[[#Headers],[Details]])),COLUMNS($C$10:AM10))),"")</f>
        <v/>
      </c>
      <c r="AN11" t="str">
        <f>IF(COLUMNS($C$10:AN10)&lt;=$A11,INDEX(Table1[[PARTICULAR]:[PARTICULAR]],_xlfn.AGGREGATE(15,3,(Table1[[#This Row],[Details]:[Details]]=$B11)/(Table1[[#This Row],[Details]:[Details]]=$B11)*(ROW(Table1[[Details]:[Details]])-ROW(Table1[[#Headers],[Details]])),COLUMNS($C$10:AN10))),"")</f>
        <v/>
      </c>
      <c r="AO11" t="str">
        <f>IF(COLUMNS($C$10:AO10)&lt;=$A11,INDEX(Table1[[PARTICULAR]:[PARTICULAR]],_xlfn.AGGREGATE(15,3,(Table1[[#This Row],[Details]:[Details]]=$B11)/(Table1[[#This Row],[Details]:[Details]]=$B11)*(ROW(Table1[[Details]:[Details]])-ROW(Table1[[#Headers],[Details]])),COLUMNS($C$10:AO10))),"")</f>
        <v/>
      </c>
      <c r="AP11" t="str">
        <f>IF(COLUMNS($C$10:AP10)&lt;=$A11,INDEX(Table1[[PARTICULAR]:[PARTICULAR]],_xlfn.AGGREGATE(15,3,(Table1[[#This Row],[Details]:[Details]]=$B11)/(Table1[[#This Row],[Details]:[Details]]=$B11)*(ROW(Table1[[Details]:[Details]])-ROW(Table1[[#Headers],[Details]])),COLUMNS($C$10:AP10))),"")</f>
        <v/>
      </c>
      <c r="AQ11" t="str">
        <f>IF(COLUMNS($C$10:AQ10)&lt;=$A11,INDEX(Table1[[PARTICULAR]:[PARTICULAR]],_xlfn.AGGREGATE(15,3,(Table1[[#This Row],[Details]:[Details]]=$B11)/(Table1[[#This Row],[Details]:[Details]]=$B11)*(ROW(Table1[[Details]:[Details]])-ROW(Table1[[#Headers],[Details]])),COLUMNS($C$10:AQ10))),"")</f>
        <v/>
      </c>
      <c r="AR11" t="str">
        <f>IF(COLUMNS($C$10:AR10)&lt;=$A11,INDEX(Table1[[PARTICULAR]:[PARTICULAR]],_xlfn.AGGREGATE(15,3,(Table1[[#This Row],[Details]:[Details]]=$B11)/(Table1[[#This Row],[Details]:[Details]]=$B11)*(ROW(Table1[[Details]:[Details]])-ROW(Table1[[#Headers],[Details]])),COLUMNS($C$10:AR10))),"")</f>
        <v/>
      </c>
      <c r="AS11" t="str">
        <f>IF(COLUMNS($C$10:AS10)&lt;=$A11,INDEX(Table1[[PARTICULAR]:[PARTICULAR]],_xlfn.AGGREGATE(15,3,(Table1[[#This Row],[Details]:[Details]]=$B11)/(Table1[[#This Row],[Details]:[Details]]=$B11)*(ROW(Table1[[Details]:[Details]])-ROW(Table1[[#Headers],[Details]])),COLUMNS($C$10:AS10))),"")</f>
        <v/>
      </c>
      <c r="AT11" t="str">
        <f>IF(COLUMNS($C$10:AT10)&lt;=$A11,INDEX(Table1[[PARTICULAR]:[PARTICULAR]],_xlfn.AGGREGATE(15,3,(Table1[[#This Row],[Details]:[Details]]=$B11)/(Table1[[#This Row],[Details]:[Details]]=$B11)*(ROW(Table1[[Details]:[Details]])-ROW(Table1[[#Headers],[Details]])),COLUMNS($C$10:AT10))),"")</f>
        <v/>
      </c>
      <c r="AU11" t="str">
        <f>IF(COLUMNS($C$10:AU10)&lt;=$A11,INDEX(Table1[[PARTICULAR]:[PARTICULAR]],_xlfn.AGGREGATE(15,3,(Table1[[#This Row],[Details]:[Details]]=$B11)/(Table1[[#This Row],[Details]:[Details]]=$B11)*(ROW(Table1[[Details]:[Details]])-ROW(Table1[[#Headers],[Details]])),COLUMNS($C$10:AU10))),"")</f>
        <v/>
      </c>
      <c r="AV11" t="str">
        <f>IF(COLUMNS($C$10:AV10)&lt;=$A11,INDEX(Table1[[PARTICULAR]:[PARTICULAR]],_xlfn.AGGREGATE(15,3,(Table1[[#This Row],[Details]:[Details]]=$B11)/(Table1[[#This Row],[Details]:[Details]]=$B11)*(ROW(Table1[[Details]:[Details]])-ROW(Table1[[#Headers],[Details]])),COLUMNS($C$10:AV10))),"")</f>
        <v/>
      </c>
      <c r="AW11" t="str">
        <f>IF(COLUMNS($C$10:AW10)&lt;=$A11,INDEX(Table1[[PARTICULAR]:[PARTICULAR]],_xlfn.AGGREGATE(15,3,(Table1[[#This Row],[Details]:[Details]]=$B11)/(Table1[[#This Row],[Details]:[Details]]=$B11)*(ROW(Table1[[Details]:[Details]])-ROW(Table1[[#Headers],[Details]])),COLUMNS($C$10:AW10))),"")</f>
        <v/>
      </c>
      <c r="AX11" t="str">
        <f>IF(COLUMNS($C$10:AX10)&lt;=$A11,INDEX(Table1[[PARTICULAR]:[PARTICULAR]],_xlfn.AGGREGATE(15,3,(Table1[[#This Row],[Details]:[Details]]=$B11)/(Table1[[#This Row],[Details]:[Details]]=$B11)*(ROW(Table1[[Details]:[Details]])-ROW(Table1[[#Headers],[Details]])),COLUMNS($C$10:AX10))),"")</f>
        <v/>
      </c>
      <c r="AY11" t="str">
        <f>IF(COLUMNS($C$10:AY10)&lt;=$A11,INDEX(Table1[[PARTICULAR]:[PARTICULAR]],_xlfn.AGGREGATE(15,3,(Table1[[#This Row],[Details]:[Details]]=$B11)/(Table1[[#This Row],[Details]:[Details]]=$B11)*(ROW(Table1[[Details]:[Details]])-ROW(Table1[[#Headers],[Details]])),COLUMNS($C$10:AY10))),"")</f>
        <v/>
      </c>
      <c r="AZ11" t="str">
        <f>IF(COLUMNS($C$10:AZ10)&lt;=$A11,INDEX(Table1[[PARTICULAR]:[PARTICULAR]],_xlfn.AGGREGATE(15,3,(Table1[[#This Row],[Details]:[Details]]=$B11)/(Table1[[#This Row],[Details]:[Details]]=$B11)*(ROW(Table1[[Details]:[Details]])-ROW(Table1[[#Headers],[Details]])),COLUMNS($C$10:AZ10))),"")</f>
        <v/>
      </c>
      <c r="BA11" t="str">
        <f>IF(COLUMNS($C$10:BA10)&lt;=$A11,INDEX(Table1[[PARTICULAR]:[PARTICULAR]],_xlfn.AGGREGATE(15,3,(Table1[[#This Row],[Details]:[Details]]=$B11)/(Table1[[#This Row],[Details]:[Details]]=$B11)*(ROW(Table1[[Details]:[Details]])-ROW(Table1[[#Headers],[Details]])),COLUMNS($C$10:BA10))),"")</f>
        <v/>
      </c>
      <c r="BB11" t="str">
        <f>IF(COLUMNS($C$10:BB10)&lt;=$A11,INDEX(Table1[[PARTICULAR]:[PARTICULAR]],_xlfn.AGGREGATE(15,3,(Table1[[#This Row],[Details]:[Details]]=$B11)/(Table1[[#This Row],[Details]:[Details]]=$B11)*(ROW(Table1[[Details]:[Details]])-ROW(Table1[[#Headers],[Details]])),COLUMNS($C$10:BB10))),"")</f>
        <v/>
      </c>
      <c r="BC11" t="str">
        <f>IF(COLUMNS($C$10:BC10)&lt;=$A11,INDEX(Table1[[PARTICULAR]:[PARTICULAR]],_xlfn.AGGREGATE(15,3,(Table1[[#This Row],[Details]:[Details]]=$B11)/(Table1[[#This Row],[Details]:[Details]]=$B11)*(ROW(Table1[[Details]:[Details]])-ROW(Table1[[#Headers],[Details]])),COLUMNS($C$10:BC10))),"")</f>
        <v/>
      </c>
      <c r="BD11" t="str">
        <f>IF(COLUMNS($C$10:BD10)&lt;=$A11,INDEX(Table1[[PARTICULAR]:[PARTICULAR]],_xlfn.AGGREGATE(15,3,(Table1[[#This Row],[Details]:[Details]]=$B11)/(Table1[[#This Row],[Details]:[Details]]=$B11)*(ROW(Table1[[Details]:[Details]])-ROW(Table1[[#Headers],[Details]])),COLUMNS($C$10:BD10))),"")</f>
        <v/>
      </c>
      <c r="BE11" t="str">
        <f>IF(COLUMNS($C$10:BE10)&lt;=$A11,INDEX(Table1[[PARTICULAR]:[PARTICULAR]],_xlfn.AGGREGATE(15,3,(Table1[[#This Row],[Details]:[Details]]=$B11)/(Table1[[#This Row],[Details]:[Details]]=$B11)*(ROW(Table1[[Details]:[Details]])-ROW(Table1[[#Headers],[Details]])),COLUMNS($C$10:BE10))),"")</f>
        <v/>
      </c>
      <c r="BF11" t="str">
        <f>IF(COLUMNS($C$10:BF10)&lt;=$A11,INDEX(Table1[[PARTICULAR]:[PARTICULAR]],_xlfn.AGGREGATE(15,3,(Table1[[#This Row],[Details]:[Details]]=$B11)/(Table1[[#This Row],[Details]:[Details]]=$B11)*(ROW(Table1[[Details]:[Details]])-ROW(Table1[[#Headers],[Details]])),COLUMNS($C$10:BF10))),"")</f>
        <v/>
      </c>
      <c r="BG11" t="str">
        <f>IF(COLUMNS($C$10:BG10)&lt;=$A11,INDEX(Table1[[PARTICULAR]:[PARTICULAR]],_xlfn.AGGREGATE(15,3,(Table1[[#This Row],[Details]:[Details]]=$B11)/(Table1[[#This Row],[Details]:[Details]]=$B11)*(ROW(Table1[[Details]:[Details]])-ROW(Table1[[#Headers],[Details]])),COLUMNS($C$10:BG10))),"")</f>
        <v/>
      </c>
      <c r="BH11" t="str">
        <f>IF(COLUMNS($C$10:BH10)&lt;=$A11,INDEX(Table1[[PARTICULAR]:[PARTICULAR]],_xlfn.AGGREGATE(15,3,(Table1[[#This Row],[Details]:[Details]]=$B11)/(Table1[[#This Row],[Details]:[Details]]=$B11)*(ROW(Table1[[Details]:[Details]])-ROW(Table1[[#Headers],[Details]])),COLUMNS($C$10:BH10))),"")</f>
        <v/>
      </c>
      <c r="BI11" t="str">
        <f>IF(COLUMNS($C$10:BI10)&lt;=$A11,INDEX(Table1[[PARTICULAR]:[PARTICULAR]],_xlfn.AGGREGATE(15,3,(Table1[[#This Row],[Details]:[Details]]=$B11)/(Table1[[#This Row],[Details]:[Details]]=$B11)*(ROW(Table1[[Details]:[Details]])-ROW(Table1[[#Headers],[Details]])),COLUMNS($C$10:BI10))),"")</f>
        <v/>
      </c>
      <c r="BJ11" t="str">
        <f>IF(COLUMNS($C$10:BJ10)&lt;=$A11,INDEX(Table1[[PARTICULAR]:[PARTICULAR]],_xlfn.AGGREGATE(15,3,(Table1[[#This Row],[Details]:[Details]]=$B11)/(Table1[[#This Row],[Details]:[Details]]=$B11)*(ROW(Table1[[Details]:[Details]])-ROW(Table1[[#Headers],[Details]])),COLUMNS($C$10:BJ10))),"")</f>
        <v/>
      </c>
      <c r="BK11" t="str">
        <f>IF(COLUMNS($C$10:BK10)&lt;=$A11,INDEX(Table1[[PARTICULAR]:[PARTICULAR]],_xlfn.AGGREGATE(15,3,(Table1[[#This Row],[Details]:[Details]]=$B11)/(Table1[[#This Row],[Details]:[Details]]=$B11)*(ROW(Table1[[Details]:[Details]])-ROW(Table1[[#Headers],[Details]])),COLUMNS($C$10:BK10))),"")</f>
        <v/>
      </c>
      <c r="BL11" t="str">
        <f>IF(COLUMNS($C$10:BL10)&lt;=$A11,INDEX(Table1[[PARTICULAR]:[PARTICULAR]],_xlfn.AGGREGATE(15,3,(Table1[[#This Row],[Details]:[Details]]=$B11)/(Table1[[#This Row],[Details]:[Details]]=$B11)*(ROW(Table1[[Details]:[Details]])-ROW(Table1[[#Headers],[Details]])),COLUMNS($C$10:BL10))),"")</f>
        <v/>
      </c>
      <c r="BM11" t="str">
        <f>IF(COLUMNS($C$10:BM10)&lt;=$A11,INDEX(Table1[[PARTICULAR]:[PARTICULAR]],_xlfn.AGGREGATE(15,3,(Table1[[#This Row],[Details]:[Details]]=$B11)/(Table1[[#This Row],[Details]:[Details]]=$B11)*(ROW(Table1[[Details]:[Details]])-ROW(Table1[[#Headers],[Details]])),COLUMNS($C$10:BM10))),"")</f>
        <v/>
      </c>
      <c r="BN11" t="str">
        <f>IF(COLUMNS($C$10:BN10)&lt;=$A11,INDEX(Table1[[PARTICULAR]:[PARTICULAR]],_xlfn.AGGREGATE(15,3,(Table1[[#This Row],[Details]:[Details]]=$B11)/(Table1[[#This Row],[Details]:[Details]]=$B11)*(ROW(Table1[[Details]:[Details]])-ROW(Table1[[#Headers],[Details]])),COLUMNS($C$10:BN10))),"")</f>
        <v/>
      </c>
      <c r="BO11" t="str">
        <f>IF(COLUMNS($C$10:BO10)&lt;=$A11,INDEX(Table1[[PARTICULAR]:[PARTICULAR]],_xlfn.AGGREGATE(15,3,(Table1[[#This Row],[Details]:[Details]]=$B11)/(Table1[[#This Row],[Details]:[Details]]=$B11)*(ROW(Table1[[Details]:[Details]])-ROW(Table1[[#Headers],[Details]])),COLUMNS($C$10:BO10))),"")</f>
        <v/>
      </c>
      <c r="BP11" t="str">
        <f>IF(COLUMNS($C$10:BP10)&lt;=$A11,INDEX(Table1[[PARTICULAR]:[PARTICULAR]],_xlfn.AGGREGATE(15,3,(Table1[[#This Row],[Details]:[Details]]=$B11)/(Table1[[#This Row],[Details]:[Details]]=$B11)*(ROW(Table1[[Details]:[Details]])-ROW(Table1[[#Headers],[Details]])),COLUMNS($C$10:BP10))),"")</f>
        <v/>
      </c>
      <c r="BQ11" t="str">
        <f>IF(COLUMNS($C$10:BQ10)&lt;=$A11,INDEX(Table1[[PARTICULAR]:[PARTICULAR]],_xlfn.AGGREGATE(15,3,(Table1[[#This Row],[Details]:[Details]]=$B11)/(Table1[[#This Row],[Details]:[Details]]=$B11)*(ROW(Table1[[Details]:[Details]])-ROW(Table1[[#Headers],[Details]])),COLUMNS($C$10:BQ10))),"")</f>
        <v/>
      </c>
      <c r="BR11" t="str">
        <f>IF(COLUMNS($C$10:BR10)&lt;=$A11,INDEX(Table1[[PARTICULAR]:[PARTICULAR]],_xlfn.AGGREGATE(15,3,(Table1[[#This Row],[Details]:[Details]]=$B11)/(Table1[[#This Row],[Details]:[Details]]=$B11)*(ROW(Table1[[Details]:[Details]])-ROW(Table1[[#Headers],[Details]])),COLUMNS($C$10:BR10))),"")</f>
        <v/>
      </c>
      <c r="BS11" t="str">
        <f>IF(COLUMNS($C$10:BS10)&lt;=$A11,INDEX(Table1[[PARTICULAR]:[PARTICULAR]],_xlfn.AGGREGATE(15,3,(Table1[[#This Row],[Details]:[Details]]=$B11)/(Table1[[#This Row],[Details]:[Details]]=$B11)*(ROW(Table1[[Details]:[Details]])-ROW(Table1[[#Headers],[Details]])),COLUMNS($C$10:BS10))),"")</f>
        <v/>
      </c>
      <c r="BT11" t="str">
        <f>IF(COLUMNS($C$10:BT10)&lt;=$A11,INDEX(Table1[[PARTICULAR]:[PARTICULAR]],_xlfn.AGGREGATE(15,3,(Table1[[#This Row],[Details]:[Details]]=$B11)/(Table1[[#This Row],[Details]:[Details]]=$B11)*(ROW(Table1[[Details]:[Details]])-ROW(Table1[[#Headers],[Details]])),COLUMNS($C$10:BT10))),"")</f>
        <v/>
      </c>
      <c r="BU11" t="str">
        <f>IF(COLUMNS($C$10:BU10)&lt;=$A11,INDEX(Table1[[PARTICULAR]:[PARTICULAR]],_xlfn.AGGREGATE(15,3,(Table1[[#This Row],[Details]:[Details]]=$B11)/(Table1[[#This Row],[Details]:[Details]]=$B11)*(ROW(Table1[[Details]:[Details]])-ROW(Table1[[#Headers],[Details]])),COLUMNS($C$10:BU10))),"")</f>
        <v/>
      </c>
      <c r="BV11" t="str">
        <f>IF(COLUMNS($C$10:BV10)&lt;=$A11,INDEX(Table1[[PARTICULAR]:[PARTICULAR]],_xlfn.AGGREGATE(15,3,(Table1[[#This Row],[Details]:[Details]]=$B11)/(Table1[[#This Row],[Details]:[Details]]=$B11)*(ROW(Table1[[Details]:[Details]])-ROW(Table1[[#Headers],[Details]])),COLUMNS($C$10:BV10))),"")</f>
        <v/>
      </c>
      <c r="BW11" t="str">
        <f>IF(COLUMNS($C$10:BW10)&lt;=$A11,INDEX(Table1[[PARTICULAR]:[PARTICULAR]],_xlfn.AGGREGATE(15,3,(Table1[[#This Row],[Details]:[Details]]=$B11)/(Table1[[#This Row],[Details]:[Details]]=$B11)*(ROW(Table1[[Details]:[Details]])-ROW(Table1[[#Headers],[Details]])),COLUMNS($C$10:BW10))),"")</f>
        <v/>
      </c>
      <c r="BX11" t="str">
        <f>IF(COLUMNS($C$10:BX10)&lt;=$A11,INDEX(Table1[[PARTICULAR]:[PARTICULAR]],_xlfn.AGGREGATE(15,3,(Table1[[#This Row],[Details]:[Details]]=$B11)/(Table1[[#This Row],[Details]:[Details]]=$B11)*(ROW(Table1[[Details]:[Details]])-ROW(Table1[[#Headers],[Details]])),COLUMNS($C$10:BX10))),"")</f>
        <v/>
      </c>
      <c r="BY11" t="str">
        <f>IF(COLUMNS($C$10:BY10)&lt;=$A11,INDEX(Table1[[PARTICULAR]:[PARTICULAR]],_xlfn.AGGREGATE(15,3,(Table1[[#This Row],[Details]:[Details]]=$B11)/(Table1[[#This Row],[Details]:[Details]]=$B11)*(ROW(Table1[[Details]:[Details]])-ROW(Table1[[#Headers],[Details]])),COLUMNS($C$10:BY10))),"")</f>
        <v/>
      </c>
      <c r="BZ11" t="str">
        <f>IF(COLUMNS($C$10:BZ10)&lt;=$A11,INDEX(Table1[[PARTICULAR]:[PARTICULAR]],_xlfn.AGGREGATE(15,3,(Table1[[#This Row],[Details]:[Details]]=$B11)/(Table1[[#This Row],[Details]:[Details]]=$B11)*(ROW(Table1[[Details]:[Details]])-ROW(Table1[[#Headers],[Details]])),COLUMNS($C$10:BZ10))),"")</f>
        <v/>
      </c>
      <c r="CA11" t="str">
        <f>IF(COLUMNS($C$10:CA10)&lt;=$A11,INDEX(Table1[[PARTICULAR]:[PARTICULAR]],_xlfn.AGGREGATE(15,3,(Table1[[#This Row],[Details]:[Details]]=$B11)/(Table1[[#This Row],[Details]:[Details]]=$B11)*(ROW(Table1[[Details]:[Details]])-ROW(Table1[[#Headers],[Details]])),COLUMNS($C$10:CA10))),"")</f>
        <v/>
      </c>
      <c r="CB11" t="str">
        <f>IF(COLUMNS($C$10:CB10)&lt;=$A11,INDEX(Table1[[PARTICULAR]:[PARTICULAR]],_xlfn.AGGREGATE(15,3,(Table1[[#This Row],[Details]:[Details]]=$B11)/(Table1[[#This Row],[Details]:[Details]]=$B11)*(ROW(Table1[[Details]:[Details]])-ROW(Table1[[#Headers],[Details]])),COLUMNS($C$10:CB10))),"")</f>
        <v/>
      </c>
    </row>
    <row r="12" spans="1:80">
      <c r="A12">
        <f>COUNTIF(Table1[Details],B12)</f>
        <v>2</v>
      </c>
      <c r="B12" s="97" t="str">
        <f>IFERROR(INDEX(Table1[Details],MATCH(0,INDEX(COUNTIF($B$10:B11,Table1[Details]),),0)),"")</f>
        <v>Adhesive</v>
      </c>
      <c r="C12" t="str">
        <f>IF(COLUMNS($C$10:C11)&lt;=$A12,INDEX(Table1[[PARTICULAR]:[PARTICULAR]],_xlfn.AGGREGATE(15,3,(Table1[[#This Row],[Details]:[Details]]=$B12)/(Table1[[#This Row],[Details]:[Details]]=$B12)*(ROW(Table1[[Details]:[Details]])-ROW(Table1[[#Headers],[Details]])),COLUMNS($C$10:C11))),"")</f>
        <v>Acrabond 20ml</v>
      </c>
      <c r="D12" t="str">
        <f>IF(COLUMNS($C$10:D11)&lt;=$A12,INDEX(Table1[[PARTICULAR]:[PARTICULAR]],_xlfn.AGGREGATE(15,3,(Table1[[#This Row],[Details]:[Details]]=$B12)/(Table1[[#This Row],[Details]:[Details]]=$B12)*(ROW(Table1[[Details]:[Details]])-ROW(Table1[[#Headers],[Details]])),COLUMNS($C$10:D11))),"")</f>
        <v>Adhesive Coated Tape</v>
      </c>
      <c r="E12" t="str">
        <f>IF(COLUMNS($C$10:E11)&lt;=$A12,INDEX(Table1[[PARTICULAR]:[PARTICULAR]],_xlfn.AGGREGATE(15,3,(Table1[[#This Row],[Details]:[Details]]=$B12)/(Table1[[#This Row],[Details]:[Details]]=$B12)*(ROW(Table1[[Details]:[Details]])-ROW(Table1[[#Headers],[Details]])),COLUMNS($C$10:E11))),"")</f>
        <v/>
      </c>
      <c r="F12" t="str">
        <f>IF(COLUMNS($C$10:F11)&lt;=$A12,INDEX(Table1[[PARTICULAR]:[PARTICULAR]],_xlfn.AGGREGATE(15,3,(Table1[[#This Row],[Details]:[Details]]=$B12)/(Table1[[#This Row],[Details]:[Details]]=$B12)*(ROW(Table1[[Details]:[Details]])-ROW(Table1[[#Headers],[Details]])),COLUMNS($C$10:F11))),"")</f>
        <v/>
      </c>
      <c r="G12" t="str">
        <f>IF(COLUMNS($C$10:G11)&lt;=$A12,INDEX(Table1[[PARTICULAR]:[PARTICULAR]],_xlfn.AGGREGATE(15,3,(Table1[[#This Row],[Details]:[Details]]=$B12)/(Table1[[#This Row],[Details]:[Details]]=$B12)*(ROW(Table1[[Details]:[Details]])-ROW(Table1[[#Headers],[Details]])),COLUMNS($C$10:G11))),"")</f>
        <v/>
      </c>
      <c r="H12" t="str">
        <f>IF(COLUMNS($C$10:H11)&lt;=$A12,INDEX(Table1[[PARTICULAR]:[PARTICULAR]],_xlfn.AGGREGATE(15,3,(Table1[[#This Row],[Details]:[Details]]=$B12)/(Table1[[#This Row],[Details]:[Details]]=$B12)*(ROW(Table1[[Details]:[Details]])-ROW(Table1[[#Headers],[Details]])),COLUMNS($C$10:H11))),"")</f>
        <v/>
      </c>
      <c r="I12" t="str">
        <f>IF(COLUMNS($C$10:I11)&lt;=$A12,INDEX(Table1[[PARTICULAR]:[PARTICULAR]],_xlfn.AGGREGATE(15,3,(Table1[[#This Row],[Details]:[Details]]=$B12)/(Table1[[#This Row],[Details]:[Details]]=$B12)*(ROW(Table1[[Details]:[Details]])-ROW(Table1[[#Headers],[Details]])),COLUMNS($C$10:I11))),"")</f>
        <v/>
      </c>
      <c r="J12" t="str">
        <f>IF(COLUMNS($C$10:J11)&lt;=$A12,INDEX(Table1[[PARTICULAR]:[PARTICULAR]],_xlfn.AGGREGATE(15,3,(Table1[[#This Row],[Details]:[Details]]=$B12)/(Table1[[#This Row],[Details]:[Details]]=$B12)*(ROW(Table1[[Details]:[Details]])-ROW(Table1[[#Headers],[Details]])),COLUMNS($C$10:J11))),"")</f>
        <v/>
      </c>
      <c r="K12" t="str">
        <f>IF(COLUMNS($C$10:K11)&lt;=$A12,INDEX(Table1[[PARTICULAR]:[PARTICULAR]],_xlfn.AGGREGATE(15,3,(Table1[[#This Row],[Details]:[Details]]=$B12)/(Table1[[#This Row],[Details]:[Details]]=$B12)*(ROW(Table1[[Details]:[Details]])-ROW(Table1[[#Headers],[Details]])),COLUMNS($C$10:K11))),"")</f>
        <v/>
      </c>
      <c r="L12" t="str">
        <f>IF(COLUMNS($C$10:L11)&lt;=$A12,INDEX(Table1[[PARTICULAR]:[PARTICULAR]],_xlfn.AGGREGATE(15,3,(Table1[[#This Row],[Details]:[Details]]=$B12)/(Table1[[#This Row],[Details]:[Details]]=$B12)*(ROW(Table1[[Details]:[Details]])-ROW(Table1[[#Headers],[Details]])),COLUMNS($C$10:L11))),"")</f>
        <v/>
      </c>
      <c r="M12" t="str">
        <f>IF(COLUMNS($C$10:M11)&lt;=$A12,INDEX(Table1[[PARTICULAR]:[PARTICULAR]],_xlfn.AGGREGATE(15,3,(Table1[[#This Row],[Details]:[Details]]=$B12)/(Table1[[#This Row],[Details]:[Details]]=$B12)*(ROW(Table1[[Details]:[Details]])-ROW(Table1[[#Headers],[Details]])),COLUMNS($C$10:M11))),"")</f>
        <v/>
      </c>
      <c r="N12" t="str">
        <f>IF(COLUMNS($C$10:N11)&lt;=$A12,INDEX(Table1[[PARTICULAR]:[PARTICULAR]],_xlfn.AGGREGATE(15,3,(Table1[[#This Row],[Details]:[Details]]=$B12)/(Table1[[#This Row],[Details]:[Details]]=$B12)*(ROW(Table1[[Details]:[Details]])-ROW(Table1[[#Headers],[Details]])),COLUMNS($C$10:N11))),"")</f>
        <v/>
      </c>
      <c r="O12" t="str">
        <f>IF(COLUMNS($C$10:O11)&lt;=$A12,INDEX(Table1[[PARTICULAR]:[PARTICULAR]],_xlfn.AGGREGATE(15,3,(Table1[[#This Row],[Details]:[Details]]=$B12)/(Table1[[#This Row],[Details]:[Details]]=$B12)*(ROW(Table1[[Details]:[Details]])-ROW(Table1[[#Headers],[Details]])),COLUMNS($C$10:O11))),"")</f>
        <v/>
      </c>
      <c r="P12" t="str">
        <f>IF(COLUMNS($C$10:P11)&lt;=$A12,INDEX(Table1[[PARTICULAR]:[PARTICULAR]],_xlfn.AGGREGATE(15,3,(Table1[[#This Row],[Details]:[Details]]=$B12)/(Table1[[#This Row],[Details]:[Details]]=$B12)*(ROW(Table1[[Details]:[Details]])-ROW(Table1[[#Headers],[Details]])),COLUMNS($C$10:P11))),"")</f>
        <v/>
      </c>
      <c r="Q12" t="str">
        <f>IF(COLUMNS($C$10:Q11)&lt;=$A12,INDEX(Table1[[PARTICULAR]:[PARTICULAR]],_xlfn.AGGREGATE(15,3,(Table1[[#This Row],[Details]:[Details]]=$B12)/(Table1[[#This Row],[Details]:[Details]]=$B12)*(ROW(Table1[[Details]:[Details]])-ROW(Table1[[#Headers],[Details]])),COLUMNS($C$10:Q11))),"")</f>
        <v/>
      </c>
      <c r="R12" t="str">
        <f>IF(COLUMNS($C$10:R11)&lt;=$A12,INDEX(Table1[[PARTICULAR]:[PARTICULAR]],_xlfn.AGGREGATE(15,3,(Table1[[#This Row],[Details]:[Details]]=$B12)/(Table1[[#This Row],[Details]:[Details]]=$B12)*(ROW(Table1[[Details]:[Details]])-ROW(Table1[[#Headers],[Details]])),COLUMNS($C$10:R11))),"")</f>
        <v/>
      </c>
      <c r="S12" t="str">
        <f>IF(COLUMNS($C$10:S11)&lt;=$A12,INDEX(Table1[[PARTICULAR]:[PARTICULAR]],_xlfn.AGGREGATE(15,3,(Table1[[#This Row],[Details]:[Details]]=$B12)/(Table1[[#This Row],[Details]:[Details]]=$B12)*(ROW(Table1[[Details]:[Details]])-ROW(Table1[[#Headers],[Details]])),COLUMNS($C$10:S11))),"")</f>
        <v/>
      </c>
      <c r="T12" t="str">
        <f>IF(COLUMNS($C$10:T11)&lt;=$A12,INDEX(Table1[[PARTICULAR]:[PARTICULAR]],_xlfn.AGGREGATE(15,3,(Table1[[#This Row],[Details]:[Details]]=$B12)/(Table1[[#This Row],[Details]:[Details]]=$B12)*(ROW(Table1[[Details]:[Details]])-ROW(Table1[[#Headers],[Details]])),COLUMNS($C$10:T11))),"")</f>
        <v/>
      </c>
      <c r="U12" t="str">
        <f>IF(COLUMNS($C$10:U11)&lt;=$A12,INDEX(Table1[[PARTICULAR]:[PARTICULAR]],_xlfn.AGGREGATE(15,3,(Table1[[#This Row],[Details]:[Details]]=$B12)/(Table1[[#This Row],[Details]:[Details]]=$B12)*(ROW(Table1[[Details]:[Details]])-ROW(Table1[[#Headers],[Details]])),COLUMNS($C$10:U11))),"")</f>
        <v/>
      </c>
      <c r="V12" t="str">
        <f>IF(COLUMNS($C$10:V11)&lt;=$A12,INDEX(Table1[[PARTICULAR]:[PARTICULAR]],_xlfn.AGGREGATE(15,3,(Table1[[#This Row],[Details]:[Details]]=$B12)/(Table1[[#This Row],[Details]:[Details]]=$B12)*(ROW(Table1[[Details]:[Details]])-ROW(Table1[[#Headers],[Details]])),COLUMNS($C$10:V11))),"")</f>
        <v/>
      </c>
      <c r="W12" t="str">
        <f>IF(COLUMNS($C$10:W11)&lt;=$A12,INDEX(Table1[[PARTICULAR]:[PARTICULAR]],_xlfn.AGGREGATE(15,3,(Table1[[#This Row],[Details]:[Details]]=$B12)/(Table1[[#This Row],[Details]:[Details]]=$B12)*(ROW(Table1[[Details]:[Details]])-ROW(Table1[[#Headers],[Details]])),COLUMNS($C$10:W11))),"")</f>
        <v/>
      </c>
      <c r="X12" t="str">
        <f>IF(COLUMNS($C$10:X11)&lt;=$A12,INDEX(Table1[[PARTICULAR]:[PARTICULAR]],_xlfn.AGGREGATE(15,3,(Table1[[#This Row],[Details]:[Details]]=$B12)/(Table1[[#This Row],[Details]:[Details]]=$B12)*(ROW(Table1[[Details]:[Details]])-ROW(Table1[[#Headers],[Details]])),COLUMNS($C$10:X11))),"")</f>
        <v/>
      </c>
      <c r="Y12" t="str">
        <f>IF(COLUMNS($C$10:Y11)&lt;=$A12,INDEX(Table1[[PARTICULAR]:[PARTICULAR]],_xlfn.AGGREGATE(15,3,(Table1[[#This Row],[Details]:[Details]]=$B12)/(Table1[[#This Row],[Details]:[Details]]=$B12)*(ROW(Table1[[Details]:[Details]])-ROW(Table1[[#Headers],[Details]])),COLUMNS($C$10:Y11))),"")</f>
        <v/>
      </c>
      <c r="Z12" t="str">
        <f>IF(COLUMNS($C$10:Z11)&lt;=$A12,INDEX(Table1[[PARTICULAR]:[PARTICULAR]],_xlfn.AGGREGATE(15,3,(Table1[[#This Row],[Details]:[Details]]=$B12)/(Table1[[#This Row],[Details]:[Details]]=$B12)*(ROW(Table1[[Details]:[Details]])-ROW(Table1[[#Headers],[Details]])),COLUMNS($C$10:Z11))),"")</f>
        <v/>
      </c>
      <c r="AA12" t="str">
        <f>IF(COLUMNS($C$10:AA11)&lt;=$A12,INDEX(Table1[[PARTICULAR]:[PARTICULAR]],_xlfn.AGGREGATE(15,3,(Table1[[#This Row],[Details]:[Details]]=$B12)/(Table1[[#This Row],[Details]:[Details]]=$B12)*(ROW(Table1[[Details]:[Details]])-ROW(Table1[[#Headers],[Details]])),COLUMNS($C$10:AA11))),"")</f>
        <v/>
      </c>
      <c r="AB12" t="str">
        <f>IF(COLUMNS($C$10:AB11)&lt;=$A12,INDEX(Table1[[PARTICULAR]:[PARTICULAR]],_xlfn.AGGREGATE(15,3,(Table1[[#This Row],[Details]:[Details]]=$B12)/(Table1[[#This Row],[Details]:[Details]]=$B12)*(ROW(Table1[[Details]:[Details]])-ROW(Table1[[#Headers],[Details]])),COLUMNS($C$10:AB11))),"")</f>
        <v/>
      </c>
      <c r="AC12" t="str">
        <f>IF(COLUMNS($C$10:AC11)&lt;=$A12,INDEX(Table1[[PARTICULAR]:[PARTICULAR]],_xlfn.AGGREGATE(15,3,(Table1[[#This Row],[Details]:[Details]]=$B12)/(Table1[[#This Row],[Details]:[Details]]=$B12)*(ROW(Table1[[Details]:[Details]])-ROW(Table1[[#Headers],[Details]])),COLUMNS($C$10:AC11))),"")</f>
        <v/>
      </c>
      <c r="AD12" t="str">
        <f>IF(COLUMNS($C$10:AD11)&lt;=$A12,INDEX(Table1[[PARTICULAR]:[PARTICULAR]],_xlfn.AGGREGATE(15,3,(Table1[[#This Row],[Details]:[Details]]=$B12)/(Table1[[#This Row],[Details]:[Details]]=$B12)*(ROW(Table1[[Details]:[Details]])-ROW(Table1[[#Headers],[Details]])),COLUMNS($C$10:AD11))),"")</f>
        <v/>
      </c>
      <c r="AE12" t="str">
        <f>IF(COLUMNS($C$10:AE11)&lt;=$A12,INDEX(Table1[[PARTICULAR]:[PARTICULAR]],_xlfn.AGGREGATE(15,3,(Table1[[#This Row],[Details]:[Details]]=$B12)/(Table1[[#This Row],[Details]:[Details]]=$B12)*(ROW(Table1[[Details]:[Details]])-ROW(Table1[[#Headers],[Details]])),COLUMNS($C$10:AE11))),"")</f>
        <v/>
      </c>
      <c r="AF12" t="str">
        <f>IF(COLUMNS($C$10:AF11)&lt;=$A12,INDEX(Table1[[PARTICULAR]:[PARTICULAR]],_xlfn.AGGREGATE(15,3,(Table1[[#This Row],[Details]:[Details]]=$B12)/(Table1[[#This Row],[Details]:[Details]]=$B12)*(ROW(Table1[[Details]:[Details]])-ROW(Table1[[#Headers],[Details]])),COLUMNS($C$10:AF11))),"")</f>
        <v/>
      </c>
      <c r="AG12" t="str">
        <f>IF(COLUMNS($C$10:AG11)&lt;=$A12,INDEX(Table1[[PARTICULAR]:[PARTICULAR]],_xlfn.AGGREGATE(15,3,(Table1[[#This Row],[Details]:[Details]]=$B12)/(Table1[[#This Row],[Details]:[Details]]=$B12)*(ROW(Table1[[Details]:[Details]])-ROW(Table1[[#Headers],[Details]])),COLUMNS($C$10:AG11))),"")</f>
        <v/>
      </c>
      <c r="AH12" t="str">
        <f>IF(COLUMNS($C$10:AH11)&lt;=$A12,INDEX(Table1[[PARTICULAR]:[PARTICULAR]],_xlfn.AGGREGATE(15,3,(Table1[[#This Row],[Details]:[Details]]=$B12)/(Table1[[#This Row],[Details]:[Details]]=$B12)*(ROW(Table1[[Details]:[Details]])-ROW(Table1[[#Headers],[Details]])),COLUMNS($C$10:AH11))),"")</f>
        <v/>
      </c>
      <c r="AI12" t="str">
        <f>IF(COLUMNS($C$10:AI11)&lt;=$A12,INDEX(Table1[[PARTICULAR]:[PARTICULAR]],_xlfn.AGGREGATE(15,3,(Table1[[#This Row],[Details]:[Details]]=$B12)/(Table1[[#This Row],[Details]:[Details]]=$B12)*(ROW(Table1[[Details]:[Details]])-ROW(Table1[[#Headers],[Details]])),COLUMNS($C$10:AI11))),"")</f>
        <v/>
      </c>
      <c r="AJ12" t="str">
        <f>IF(COLUMNS($C$10:AJ11)&lt;=$A12,INDEX(Table1[[PARTICULAR]:[PARTICULAR]],_xlfn.AGGREGATE(15,3,(Table1[[#This Row],[Details]:[Details]]=$B12)/(Table1[[#This Row],[Details]:[Details]]=$B12)*(ROW(Table1[[Details]:[Details]])-ROW(Table1[[#Headers],[Details]])),COLUMNS($C$10:AJ11))),"")</f>
        <v/>
      </c>
      <c r="AK12" t="str">
        <f>IF(COLUMNS($C$10:AK11)&lt;=$A12,INDEX(Table1[[PARTICULAR]:[PARTICULAR]],_xlfn.AGGREGATE(15,3,(Table1[[#This Row],[Details]:[Details]]=$B12)/(Table1[[#This Row],[Details]:[Details]]=$B12)*(ROW(Table1[[Details]:[Details]])-ROW(Table1[[#Headers],[Details]])),COLUMNS($C$10:AK11))),"")</f>
        <v/>
      </c>
      <c r="AL12" t="str">
        <f>IF(COLUMNS($C$10:AL11)&lt;=$A12,INDEX(Table1[[PARTICULAR]:[PARTICULAR]],_xlfn.AGGREGATE(15,3,(Table1[[#This Row],[Details]:[Details]]=$B12)/(Table1[[#This Row],[Details]:[Details]]=$B12)*(ROW(Table1[[Details]:[Details]])-ROW(Table1[[#Headers],[Details]])),COLUMNS($C$10:AL11))),"")</f>
        <v/>
      </c>
      <c r="AM12" t="str">
        <f>IF(COLUMNS($C$10:AM11)&lt;=$A12,INDEX(Table1[[PARTICULAR]:[PARTICULAR]],_xlfn.AGGREGATE(15,3,(Table1[[#This Row],[Details]:[Details]]=$B12)/(Table1[[#This Row],[Details]:[Details]]=$B12)*(ROW(Table1[[Details]:[Details]])-ROW(Table1[[#Headers],[Details]])),COLUMNS($C$10:AM11))),"")</f>
        <v/>
      </c>
      <c r="AN12" t="str">
        <f>IF(COLUMNS($C$10:AN11)&lt;=$A12,INDEX(Table1[[PARTICULAR]:[PARTICULAR]],_xlfn.AGGREGATE(15,3,(Table1[[#This Row],[Details]:[Details]]=$B12)/(Table1[[#This Row],[Details]:[Details]]=$B12)*(ROW(Table1[[Details]:[Details]])-ROW(Table1[[#Headers],[Details]])),COLUMNS($C$10:AN11))),"")</f>
        <v/>
      </c>
      <c r="AO12" t="str">
        <f>IF(COLUMNS($C$10:AO11)&lt;=$A12,INDEX(Table1[[PARTICULAR]:[PARTICULAR]],_xlfn.AGGREGATE(15,3,(Table1[[#This Row],[Details]:[Details]]=$B12)/(Table1[[#This Row],[Details]:[Details]]=$B12)*(ROW(Table1[[Details]:[Details]])-ROW(Table1[[#Headers],[Details]])),COLUMNS($C$10:AO11))),"")</f>
        <v/>
      </c>
      <c r="AP12" t="str">
        <f>IF(COLUMNS($C$10:AP11)&lt;=$A12,INDEX(Table1[[PARTICULAR]:[PARTICULAR]],_xlfn.AGGREGATE(15,3,(Table1[[#This Row],[Details]:[Details]]=$B12)/(Table1[[#This Row],[Details]:[Details]]=$B12)*(ROW(Table1[[Details]:[Details]])-ROW(Table1[[#Headers],[Details]])),COLUMNS($C$10:AP11))),"")</f>
        <v/>
      </c>
      <c r="AQ12" t="str">
        <f>IF(COLUMNS($C$10:AQ11)&lt;=$A12,INDEX(Table1[[PARTICULAR]:[PARTICULAR]],_xlfn.AGGREGATE(15,3,(Table1[[#This Row],[Details]:[Details]]=$B12)/(Table1[[#This Row],[Details]:[Details]]=$B12)*(ROW(Table1[[Details]:[Details]])-ROW(Table1[[#Headers],[Details]])),COLUMNS($C$10:AQ11))),"")</f>
        <v/>
      </c>
      <c r="AR12" t="str">
        <f>IF(COLUMNS($C$10:AR11)&lt;=$A12,INDEX(Table1[[PARTICULAR]:[PARTICULAR]],_xlfn.AGGREGATE(15,3,(Table1[[#This Row],[Details]:[Details]]=$B12)/(Table1[[#This Row],[Details]:[Details]]=$B12)*(ROW(Table1[[Details]:[Details]])-ROW(Table1[[#Headers],[Details]])),COLUMNS($C$10:AR11))),"")</f>
        <v/>
      </c>
      <c r="AS12" t="str">
        <f>IF(COLUMNS($C$10:AS11)&lt;=$A12,INDEX(Table1[[PARTICULAR]:[PARTICULAR]],_xlfn.AGGREGATE(15,3,(Table1[[#This Row],[Details]:[Details]]=$B12)/(Table1[[#This Row],[Details]:[Details]]=$B12)*(ROW(Table1[[Details]:[Details]])-ROW(Table1[[#Headers],[Details]])),COLUMNS($C$10:AS11))),"")</f>
        <v/>
      </c>
      <c r="AT12" t="str">
        <f>IF(COLUMNS($C$10:AT11)&lt;=$A12,INDEX(Table1[[PARTICULAR]:[PARTICULAR]],_xlfn.AGGREGATE(15,3,(Table1[[#This Row],[Details]:[Details]]=$B12)/(Table1[[#This Row],[Details]:[Details]]=$B12)*(ROW(Table1[[Details]:[Details]])-ROW(Table1[[#Headers],[Details]])),COLUMNS($C$10:AT11))),"")</f>
        <v/>
      </c>
      <c r="AU12" t="str">
        <f>IF(COLUMNS($C$10:AU11)&lt;=$A12,INDEX(Table1[[PARTICULAR]:[PARTICULAR]],_xlfn.AGGREGATE(15,3,(Table1[[#This Row],[Details]:[Details]]=$B12)/(Table1[[#This Row],[Details]:[Details]]=$B12)*(ROW(Table1[[Details]:[Details]])-ROW(Table1[[#Headers],[Details]])),COLUMNS($C$10:AU11))),"")</f>
        <v/>
      </c>
      <c r="AV12" t="str">
        <f>IF(COLUMNS($C$10:AV11)&lt;=$A12,INDEX(Table1[[PARTICULAR]:[PARTICULAR]],_xlfn.AGGREGATE(15,3,(Table1[[#This Row],[Details]:[Details]]=$B12)/(Table1[[#This Row],[Details]:[Details]]=$B12)*(ROW(Table1[[Details]:[Details]])-ROW(Table1[[#Headers],[Details]])),COLUMNS($C$10:AV11))),"")</f>
        <v/>
      </c>
      <c r="AW12" t="str">
        <f>IF(COLUMNS($C$10:AW11)&lt;=$A12,INDEX(Table1[[PARTICULAR]:[PARTICULAR]],_xlfn.AGGREGATE(15,3,(Table1[[#This Row],[Details]:[Details]]=$B12)/(Table1[[#This Row],[Details]:[Details]]=$B12)*(ROW(Table1[[Details]:[Details]])-ROW(Table1[[#Headers],[Details]])),COLUMNS($C$10:AW11))),"")</f>
        <v/>
      </c>
      <c r="AX12" t="str">
        <f>IF(COLUMNS($C$10:AX11)&lt;=$A12,INDEX(Table1[[PARTICULAR]:[PARTICULAR]],_xlfn.AGGREGATE(15,3,(Table1[[#This Row],[Details]:[Details]]=$B12)/(Table1[[#This Row],[Details]:[Details]]=$B12)*(ROW(Table1[[Details]:[Details]])-ROW(Table1[[#Headers],[Details]])),COLUMNS($C$10:AX11))),"")</f>
        <v/>
      </c>
      <c r="AY12" t="str">
        <f>IF(COLUMNS($C$10:AY11)&lt;=$A12,INDEX(Table1[[PARTICULAR]:[PARTICULAR]],_xlfn.AGGREGATE(15,3,(Table1[[#This Row],[Details]:[Details]]=$B12)/(Table1[[#This Row],[Details]:[Details]]=$B12)*(ROW(Table1[[Details]:[Details]])-ROW(Table1[[#Headers],[Details]])),COLUMNS($C$10:AY11))),"")</f>
        <v/>
      </c>
      <c r="AZ12" t="str">
        <f>IF(COLUMNS($C$10:AZ11)&lt;=$A12,INDEX(Table1[[PARTICULAR]:[PARTICULAR]],_xlfn.AGGREGATE(15,3,(Table1[[#This Row],[Details]:[Details]]=$B12)/(Table1[[#This Row],[Details]:[Details]]=$B12)*(ROW(Table1[[Details]:[Details]])-ROW(Table1[[#Headers],[Details]])),COLUMNS($C$10:AZ11))),"")</f>
        <v/>
      </c>
      <c r="BA12" t="str">
        <f>IF(COLUMNS($C$10:BA11)&lt;=$A12,INDEX(Table1[[PARTICULAR]:[PARTICULAR]],_xlfn.AGGREGATE(15,3,(Table1[[#This Row],[Details]:[Details]]=$B12)/(Table1[[#This Row],[Details]:[Details]]=$B12)*(ROW(Table1[[Details]:[Details]])-ROW(Table1[[#Headers],[Details]])),COLUMNS($C$10:BA11))),"")</f>
        <v/>
      </c>
      <c r="BB12" t="str">
        <f>IF(COLUMNS($C$10:BB11)&lt;=$A12,INDEX(Table1[[PARTICULAR]:[PARTICULAR]],_xlfn.AGGREGATE(15,3,(Table1[[#This Row],[Details]:[Details]]=$B12)/(Table1[[#This Row],[Details]:[Details]]=$B12)*(ROW(Table1[[Details]:[Details]])-ROW(Table1[[#Headers],[Details]])),COLUMNS($C$10:BB11))),"")</f>
        <v/>
      </c>
      <c r="BC12" t="str">
        <f>IF(COLUMNS($C$10:BC11)&lt;=$A12,INDEX(Table1[[PARTICULAR]:[PARTICULAR]],_xlfn.AGGREGATE(15,3,(Table1[[#This Row],[Details]:[Details]]=$B12)/(Table1[[#This Row],[Details]:[Details]]=$B12)*(ROW(Table1[[Details]:[Details]])-ROW(Table1[[#Headers],[Details]])),COLUMNS($C$10:BC11))),"")</f>
        <v/>
      </c>
      <c r="BD12" t="str">
        <f>IF(COLUMNS($C$10:BD11)&lt;=$A12,INDEX(Table1[[PARTICULAR]:[PARTICULAR]],_xlfn.AGGREGATE(15,3,(Table1[[#This Row],[Details]:[Details]]=$B12)/(Table1[[#This Row],[Details]:[Details]]=$B12)*(ROW(Table1[[Details]:[Details]])-ROW(Table1[[#Headers],[Details]])),COLUMNS($C$10:BD11))),"")</f>
        <v/>
      </c>
      <c r="BE12" t="str">
        <f>IF(COLUMNS($C$10:BE11)&lt;=$A12,INDEX(Table1[[PARTICULAR]:[PARTICULAR]],_xlfn.AGGREGATE(15,3,(Table1[[#This Row],[Details]:[Details]]=$B12)/(Table1[[#This Row],[Details]:[Details]]=$B12)*(ROW(Table1[[Details]:[Details]])-ROW(Table1[[#Headers],[Details]])),COLUMNS($C$10:BE11))),"")</f>
        <v/>
      </c>
      <c r="BF12" t="str">
        <f>IF(COLUMNS($C$10:BF11)&lt;=$A12,INDEX(Table1[[PARTICULAR]:[PARTICULAR]],_xlfn.AGGREGATE(15,3,(Table1[[#This Row],[Details]:[Details]]=$B12)/(Table1[[#This Row],[Details]:[Details]]=$B12)*(ROW(Table1[[Details]:[Details]])-ROW(Table1[[#Headers],[Details]])),COLUMNS($C$10:BF11))),"")</f>
        <v/>
      </c>
      <c r="BG12" t="str">
        <f>IF(COLUMNS($C$10:BG11)&lt;=$A12,INDEX(Table1[[PARTICULAR]:[PARTICULAR]],_xlfn.AGGREGATE(15,3,(Table1[[#This Row],[Details]:[Details]]=$B12)/(Table1[[#This Row],[Details]:[Details]]=$B12)*(ROW(Table1[[Details]:[Details]])-ROW(Table1[[#Headers],[Details]])),COLUMNS($C$10:BG11))),"")</f>
        <v/>
      </c>
      <c r="BH12" t="str">
        <f>IF(COLUMNS($C$10:BH11)&lt;=$A12,INDEX(Table1[[PARTICULAR]:[PARTICULAR]],_xlfn.AGGREGATE(15,3,(Table1[[#This Row],[Details]:[Details]]=$B12)/(Table1[[#This Row],[Details]:[Details]]=$B12)*(ROW(Table1[[Details]:[Details]])-ROW(Table1[[#Headers],[Details]])),COLUMNS($C$10:BH11))),"")</f>
        <v/>
      </c>
      <c r="BI12" t="str">
        <f>IF(COLUMNS($C$10:BI11)&lt;=$A12,INDEX(Table1[[PARTICULAR]:[PARTICULAR]],_xlfn.AGGREGATE(15,3,(Table1[[#This Row],[Details]:[Details]]=$B12)/(Table1[[#This Row],[Details]:[Details]]=$B12)*(ROW(Table1[[Details]:[Details]])-ROW(Table1[[#Headers],[Details]])),COLUMNS($C$10:BI11))),"")</f>
        <v/>
      </c>
      <c r="BJ12" t="str">
        <f>IF(COLUMNS($C$10:BJ11)&lt;=$A12,INDEX(Table1[[PARTICULAR]:[PARTICULAR]],_xlfn.AGGREGATE(15,3,(Table1[[#This Row],[Details]:[Details]]=$B12)/(Table1[[#This Row],[Details]:[Details]]=$B12)*(ROW(Table1[[Details]:[Details]])-ROW(Table1[[#Headers],[Details]])),COLUMNS($C$10:BJ11))),"")</f>
        <v/>
      </c>
      <c r="BK12" t="str">
        <f>IF(COLUMNS($C$10:BK11)&lt;=$A12,INDEX(Table1[[PARTICULAR]:[PARTICULAR]],_xlfn.AGGREGATE(15,3,(Table1[[#This Row],[Details]:[Details]]=$B12)/(Table1[[#This Row],[Details]:[Details]]=$B12)*(ROW(Table1[[Details]:[Details]])-ROW(Table1[[#Headers],[Details]])),COLUMNS($C$10:BK11))),"")</f>
        <v/>
      </c>
      <c r="BL12" t="str">
        <f>IF(COLUMNS($C$10:BL11)&lt;=$A12,INDEX(Table1[[PARTICULAR]:[PARTICULAR]],_xlfn.AGGREGATE(15,3,(Table1[[#This Row],[Details]:[Details]]=$B12)/(Table1[[#This Row],[Details]:[Details]]=$B12)*(ROW(Table1[[Details]:[Details]])-ROW(Table1[[#Headers],[Details]])),COLUMNS($C$10:BL11))),"")</f>
        <v/>
      </c>
      <c r="BM12" t="str">
        <f>IF(COLUMNS($C$10:BM11)&lt;=$A12,INDEX(Table1[[PARTICULAR]:[PARTICULAR]],_xlfn.AGGREGATE(15,3,(Table1[[#This Row],[Details]:[Details]]=$B12)/(Table1[[#This Row],[Details]:[Details]]=$B12)*(ROW(Table1[[Details]:[Details]])-ROW(Table1[[#Headers],[Details]])),COLUMNS($C$10:BM11))),"")</f>
        <v/>
      </c>
      <c r="BN12" t="str">
        <f>IF(COLUMNS($C$10:BN11)&lt;=$A12,INDEX(Table1[[PARTICULAR]:[PARTICULAR]],_xlfn.AGGREGATE(15,3,(Table1[[#This Row],[Details]:[Details]]=$B12)/(Table1[[#This Row],[Details]:[Details]]=$B12)*(ROW(Table1[[Details]:[Details]])-ROW(Table1[[#Headers],[Details]])),COLUMNS($C$10:BN11))),"")</f>
        <v/>
      </c>
      <c r="BO12" t="str">
        <f>IF(COLUMNS($C$10:BO11)&lt;=$A12,INDEX(Table1[[PARTICULAR]:[PARTICULAR]],_xlfn.AGGREGATE(15,3,(Table1[[#This Row],[Details]:[Details]]=$B12)/(Table1[[#This Row],[Details]:[Details]]=$B12)*(ROW(Table1[[Details]:[Details]])-ROW(Table1[[#Headers],[Details]])),COLUMNS($C$10:BO11))),"")</f>
        <v/>
      </c>
      <c r="BP12" t="str">
        <f>IF(COLUMNS($C$10:BP11)&lt;=$A12,INDEX(Table1[[PARTICULAR]:[PARTICULAR]],_xlfn.AGGREGATE(15,3,(Table1[[#This Row],[Details]:[Details]]=$B12)/(Table1[[#This Row],[Details]:[Details]]=$B12)*(ROW(Table1[[Details]:[Details]])-ROW(Table1[[#Headers],[Details]])),COLUMNS($C$10:BP11))),"")</f>
        <v/>
      </c>
      <c r="BQ12" t="str">
        <f>IF(COLUMNS($C$10:BQ11)&lt;=$A12,INDEX(Table1[[PARTICULAR]:[PARTICULAR]],_xlfn.AGGREGATE(15,3,(Table1[[#This Row],[Details]:[Details]]=$B12)/(Table1[[#This Row],[Details]:[Details]]=$B12)*(ROW(Table1[[Details]:[Details]])-ROW(Table1[[#Headers],[Details]])),COLUMNS($C$10:BQ11))),"")</f>
        <v/>
      </c>
      <c r="BR12" t="str">
        <f>IF(COLUMNS($C$10:BR11)&lt;=$A12,INDEX(Table1[[PARTICULAR]:[PARTICULAR]],_xlfn.AGGREGATE(15,3,(Table1[[#This Row],[Details]:[Details]]=$B12)/(Table1[[#This Row],[Details]:[Details]]=$B12)*(ROW(Table1[[Details]:[Details]])-ROW(Table1[[#Headers],[Details]])),COLUMNS($C$10:BR11))),"")</f>
        <v/>
      </c>
      <c r="BS12" t="str">
        <f>IF(COLUMNS($C$10:BS11)&lt;=$A12,INDEX(Table1[[PARTICULAR]:[PARTICULAR]],_xlfn.AGGREGATE(15,3,(Table1[[#This Row],[Details]:[Details]]=$B12)/(Table1[[#This Row],[Details]:[Details]]=$B12)*(ROW(Table1[[Details]:[Details]])-ROW(Table1[[#Headers],[Details]])),COLUMNS($C$10:BS11))),"")</f>
        <v/>
      </c>
      <c r="BT12" t="str">
        <f>IF(COLUMNS($C$10:BT11)&lt;=$A12,INDEX(Table1[[PARTICULAR]:[PARTICULAR]],_xlfn.AGGREGATE(15,3,(Table1[[#This Row],[Details]:[Details]]=$B12)/(Table1[[#This Row],[Details]:[Details]]=$B12)*(ROW(Table1[[Details]:[Details]])-ROW(Table1[[#Headers],[Details]])),COLUMNS($C$10:BT11))),"")</f>
        <v/>
      </c>
      <c r="BU12" t="str">
        <f>IF(COLUMNS($C$10:BU11)&lt;=$A12,INDEX(Table1[[PARTICULAR]:[PARTICULAR]],_xlfn.AGGREGATE(15,3,(Table1[[#This Row],[Details]:[Details]]=$B12)/(Table1[[#This Row],[Details]:[Details]]=$B12)*(ROW(Table1[[Details]:[Details]])-ROW(Table1[[#Headers],[Details]])),COLUMNS($C$10:BU11))),"")</f>
        <v/>
      </c>
      <c r="BV12" t="str">
        <f>IF(COLUMNS($C$10:BV11)&lt;=$A12,INDEX(Table1[[PARTICULAR]:[PARTICULAR]],_xlfn.AGGREGATE(15,3,(Table1[[#This Row],[Details]:[Details]]=$B12)/(Table1[[#This Row],[Details]:[Details]]=$B12)*(ROW(Table1[[Details]:[Details]])-ROW(Table1[[#Headers],[Details]])),COLUMNS($C$10:BV11))),"")</f>
        <v/>
      </c>
      <c r="BW12" t="str">
        <f>IF(COLUMNS($C$10:BW11)&lt;=$A12,INDEX(Table1[[PARTICULAR]:[PARTICULAR]],_xlfn.AGGREGATE(15,3,(Table1[[#This Row],[Details]:[Details]]=$B12)/(Table1[[#This Row],[Details]:[Details]]=$B12)*(ROW(Table1[[Details]:[Details]])-ROW(Table1[[#Headers],[Details]])),COLUMNS($C$10:BW11))),"")</f>
        <v/>
      </c>
      <c r="BX12" t="str">
        <f>IF(COLUMNS($C$10:BX11)&lt;=$A12,INDEX(Table1[[PARTICULAR]:[PARTICULAR]],_xlfn.AGGREGATE(15,3,(Table1[[#This Row],[Details]:[Details]]=$B12)/(Table1[[#This Row],[Details]:[Details]]=$B12)*(ROW(Table1[[Details]:[Details]])-ROW(Table1[[#Headers],[Details]])),COLUMNS($C$10:BX11))),"")</f>
        <v/>
      </c>
      <c r="BY12" t="str">
        <f>IF(COLUMNS($C$10:BY11)&lt;=$A12,INDEX(Table1[[PARTICULAR]:[PARTICULAR]],_xlfn.AGGREGATE(15,3,(Table1[[#This Row],[Details]:[Details]]=$B12)/(Table1[[#This Row],[Details]:[Details]]=$B12)*(ROW(Table1[[Details]:[Details]])-ROW(Table1[[#Headers],[Details]])),COLUMNS($C$10:BY11))),"")</f>
        <v/>
      </c>
      <c r="BZ12" t="str">
        <f>IF(COLUMNS($C$10:BZ11)&lt;=$A12,INDEX(Table1[[PARTICULAR]:[PARTICULAR]],_xlfn.AGGREGATE(15,3,(Table1[[#This Row],[Details]:[Details]]=$B12)/(Table1[[#This Row],[Details]:[Details]]=$B12)*(ROW(Table1[[Details]:[Details]])-ROW(Table1[[#Headers],[Details]])),COLUMNS($C$10:BZ11))),"")</f>
        <v/>
      </c>
      <c r="CA12" t="str">
        <f>IF(COLUMNS($C$10:CA11)&lt;=$A12,INDEX(Table1[[PARTICULAR]:[PARTICULAR]],_xlfn.AGGREGATE(15,3,(Table1[[#This Row],[Details]:[Details]]=$B12)/(Table1[[#This Row],[Details]:[Details]]=$B12)*(ROW(Table1[[Details]:[Details]])-ROW(Table1[[#Headers],[Details]])),COLUMNS($C$10:CA11))),"")</f>
        <v/>
      </c>
      <c r="CB12" t="str">
        <f>IF(COLUMNS($C$10:CB11)&lt;=$A12,INDEX(Table1[[PARTICULAR]:[PARTICULAR]],_xlfn.AGGREGATE(15,3,(Table1[[#This Row],[Details]:[Details]]=$B12)/(Table1[[#This Row],[Details]:[Details]]=$B12)*(ROW(Table1[[Details]:[Details]])-ROW(Table1[[#Headers],[Details]])),COLUMNS($C$10:CB11))),"")</f>
        <v/>
      </c>
    </row>
    <row r="13" spans="1:80">
      <c r="A13">
        <f>COUNTIF(Table1[Details],B13)</f>
        <v>2</v>
      </c>
      <c r="B13" s="97" t="str">
        <f>IFERROR(INDEX(Table1[Details],MATCH(0,INDEX(COUNTIF($B$10:B12,Table1[Details]),),0)),"")</f>
        <v>Canvas</v>
      </c>
      <c r="C13" t="str">
        <f>IF(COLUMNS($C$10:C12)&lt;=$A13,INDEX(Table1[[PARTICULAR]:[PARTICULAR]],_xlfn.AGGREGATE(15,3,(Table1[[#This Row],[Details]:[Details]]=$B13)/(Table1[[#This Row],[Details]:[Details]]=$B13)*(ROW(Table1[[Details]:[Details]])-ROW(Table1[[#Headers],[Details]])),COLUMNS($C$10:C12))),"")</f>
        <v>Eco Solvent Print On Canvas</v>
      </c>
      <c r="D13" t="str">
        <f>IF(COLUMNS($C$10:D12)&lt;=$A13,INDEX(Table1[[PARTICULAR]:[PARTICULAR]],_xlfn.AGGREGATE(15,3,(Table1[[#This Row],[Details]:[Details]]=$B13)/(Table1[[#This Row],[Details]:[Details]]=$B13)*(ROW(Table1[[Details]:[Details]])-ROW(Table1[[#Headers],[Details]])),COLUMNS($C$10:D12))),"")</f>
        <v>UV Print On Canvas</v>
      </c>
      <c r="E13" t="str">
        <f>IF(COLUMNS($C$10:E12)&lt;=$A13,INDEX(Table1[[PARTICULAR]:[PARTICULAR]],_xlfn.AGGREGATE(15,3,(Table1[[#This Row],[Details]:[Details]]=$B13)/(Table1[[#This Row],[Details]:[Details]]=$B13)*(ROW(Table1[[Details]:[Details]])-ROW(Table1[[#Headers],[Details]])),COLUMNS($C$10:E12))),"")</f>
        <v/>
      </c>
      <c r="F13" t="str">
        <f>IF(COLUMNS($C$10:F12)&lt;=$A13,INDEX(Table1[[PARTICULAR]:[PARTICULAR]],_xlfn.AGGREGATE(15,3,(Table1[[#This Row],[Details]:[Details]]=$B13)/(Table1[[#This Row],[Details]:[Details]]=$B13)*(ROW(Table1[[Details]:[Details]])-ROW(Table1[[#Headers],[Details]])),COLUMNS($C$10:F12))),"")</f>
        <v/>
      </c>
      <c r="G13" t="str">
        <f>IF(COLUMNS($C$10:G12)&lt;=$A13,INDEX(Table1[[PARTICULAR]:[PARTICULAR]],_xlfn.AGGREGATE(15,3,(Table1[[#This Row],[Details]:[Details]]=$B13)/(Table1[[#This Row],[Details]:[Details]]=$B13)*(ROW(Table1[[Details]:[Details]])-ROW(Table1[[#Headers],[Details]])),COLUMNS($C$10:G12))),"")</f>
        <v/>
      </c>
      <c r="H13" t="str">
        <f>IF(COLUMNS($C$10:H12)&lt;=$A13,INDEX(Table1[[PARTICULAR]:[PARTICULAR]],_xlfn.AGGREGATE(15,3,(Table1[[#This Row],[Details]:[Details]]=$B13)/(Table1[[#This Row],[Details]:[Details]]=$B13)*(ROW(Table1[[Details]:[Details]])-ROW(Table1[[#Headers],[Details]])),COLUMNS($C$10:H12))),"")</f>
        <v/>
      </c>
      <c r="I13" t="str">
        <f>IF(COLUMNS($C$10:I12)&lt;=$A13,INDEX(Table1[[PARTICULAR]:[PARTICULAR]],_xlfn.AGGREGATE(15,3,(Table1[[#This Row],[Details]:[Details]]=$B13)/(Table1[[#This Row],[Details]:[Details]]=$B13)*(ROW(Table1[[Details]:[Details]])-ROW(Table1[[#Headers],[Details]])),COLUMNS($C$10:I12))),"")</f>
        <v/>
      </c>
      <c r="J13" t="str">
        <f>IF(COLUMNS($C$10:J12)&lt;=$A13,INDEX(Table1[[PARTICULAR]:[PARTICULAR]],_xlfn.AGGREGATE(15,3,(Table1[[#This Row],[Details]:[Details]]=$B13)/(Table1[[#This Row],[Details]:[Details]]=$B13)*(ROW(Table1[[Details]:[Details]])-ROW(Table1[[#Headers],[Details]])),COLUMNS($C$10:J12))),"")</f>
        <v/>
      </c>
      <c r="K13" t="str">
        <f>IF(COLUMNS($C$10:K12)&lt;=$A13,INDEX(Table1[[PARTICULAR]:[PARTICULAR]],_xlfn.AGGREGATE(15,3,(Table1[[#This Row],[Details]:[Details]]=$B13)/(Table1[[#This Row],[Details]:[Details]]=$B13)*(ROW(Table1[[Details]:[Details]])-ROW(Table1[[#Headers],[Details]])),COLUMNS($C$10:K12))),"")</f>
        <v/>
      </c>
      <c r="L13" t="str">
        <f>IF(COLUMNS($C$10:L12)&lt;=$A13,INDEX(Table1[[PARTICULAR]:[PARTICULAR]],_xlfn.AGGREGATE(15,3,(Table1[[#This Row],[Details]:[Details]]=$B13)/(Table1[[#This Row],[Details]:[Details]]=$B13)*(ROW(Table1[[Details]:[Details]])-ROW(Table1[[#Headers],[Details]])),COLUMNS($C$10:L12))),"")</f>
        <v/>
      </c>
      <c r="M13" t="str">
        <f>IF(COLUMNS($C$10:M12)&lt;=$A13,INDEX(Table1[[PARTICULAR]:[PARTICULAR]],_xlfn.AGGREGATE(15,3,(Table1[[#This Row],[Details]:[Details]]=$B13)/(Table1[[#This Row],[Details]:[Details]]=$B13)*(ROW(Table1[[Details]:[Details]])-ROW(Table1[[#Headers],[Details]])),COLUMNS($C$10:M12))),"")</f>
        <v/>
      </c>
      <c r="N13" t="str">
        <f>IF(COLUMNS($C$10:N12)&lt;=$A13,INDEX(Table1[[PARTICULAR]:[PARTICULAR]],_xlfn.AGGREGATE(15,3,(Table1[[#This Row],[Details]:[Details]]=$B13)/(Table1[[#This Row],[Details]:[Details]]=$B13)*(ROW(Table1[[Details]:[Details]])-ROW(Table1[[#Headers],[Details]])),COLUMNS($C$10:N12))),"")</f>
        <v/>
      </c>
      <c r="O13" t="str">
        <f>IF(COLUMNS($C$10:O12)&lt;=$A13,INDEX(Table1[[PARTICULAR]:[PARTICULAR]],_xlfn.AGGREGATE(15,3,(Table1[[#This Row],[Details]:[Details]]=$B13)/(Table1[[#This Row],[Details]:[Details]]=$B13)*(ROW(Table1[[Details]:[Details]])-ROW(Table1[[#Headers],[Details]])),COLUMNS($C$10:O12))),"")</f>
        <v/>
      </c>
      <c r="P13" t="str">
        <f>IF(COLUMNS($C$10:P12)&lt;=$A13,INDEX(Table1[[PARTICULAR]:[PARTICULAR]],_xlfn.AGGREGATE(15,3,(Table1[[#This Row],[Details]:[Details]]=$B13)/(Table1[[#This Row],[Details]:[Details]]=$B13)*(ROW(Table1[[Details]:[Details]])-ROW(Table1[[#Headers],[Details]])),COLUMNS($C$10:P12))),"")</f>
        <v/>
      </c>
      <c r="Q13" t="str">
        <f>IF(COLUMNS($C$10:Q12)&lt;=$A13,INDEX(Table1[[PARTICULAR]:[PARTICULAR]],_xlfn.AGGREGATE(15,3,(Table1[[#This Row],[Details]:[Details]]=$B13)/(Table1[[#This Row],[Details]:[Details]]=$B13)*(ROW(Table1[[Details]:[Details]])-ROW(Table1[[#Headers],[Details]])),COLUMNS($C$10:Q12))),"")</f>
        <v/>
      </c>
      <c r="R13" t="str">
        <f>IF(COLUMNS($C$10:R12)&lt;=$A13,INDEX(Table1[[PARTICULAR]:[PARTICULAR]],_xlfn.AGGREGATE(15,3,(Table1[[#This Row],[Details]:[Details]]=$B13)/(Table1[[#This Row],[Details]:[Details]]=$B13)*(ROW(Table1[[Details]:[Details]])-ROW(Table1[[#Headers],[Details]])),COLUMNS($C$10:R12))),"")</f>
        <v/>
      </c>
      <c r="S13" t="str">
        <f>IF(COLUMNS($C$10:S12)&lt;=$A13,INDEX(Table1[[PARTICULAR]:[PARTICULAR]],_xlfn.AGGREGATE(15,3,(Table1[[#This Row],[Details]:[Details]]=$B13)/(Table1[[#This Row],[Details]:[Details]]=$B13)*(ROW(Table1[[Details]:[Details]])-ROW(Table1[[#Headers],[Details]])),COLUMNS($C$10:S12))),"")</f>
        <v/>
      </c>
      <c r="T13" t="str">
        <f>IF(COLUMNS($C$10:T12)&lt;=$A13,INDEX(Table1[[PARTICULAR]:[PARTICULAR]],_xlfn.AGGREGATE(15,3,(Table1[[#This Row],[Details]:[Details]]=$B13)/(Table1[[#This Row],[Details]:[Details]]=$B13)*(ROW(Table1[[Details]:[Details]])-ROW(Table1[[#Headers],[Details]])),COLUMNS($C$10:T12))),"")</f>
        <v/>
      </c>
      <c r="U13" t="str">
        <f>IF(COLUMNS($C$10:U12)&lt;=$A13,INDEX(Table1[[PARTICULAR]:[PARTICULAR]],_xlfn.AGGREGATE(15,3,(Table1[[#This Row],[Details]:[Details]]=$B13)/(Table1[[#This Row],[Details]:[Details]]=$B13)*(ROW(Table1[[Details]:[Details]])-ROW(Table1[[#Headers],[Details]])),COLUMNS($C$10:U12))),"")</f>
        <v/>
      </c>
      <c r="V13" t="str">
        <f>IF(COLUMNS($C$10:V12)&lt;=$A13,INDEX(Table1[[PARTICULAR]:[PARTICULAR]],_xlfn.AGGREGATE(15,3,(Table1[[#This Row],[Details]:[Details]]=$B13)/(Table1[[#This Row],[Details]:[Details]]=$B13)*(ROW(Table1[[Details]:[Details]])-ROW(Table1[[#Headers],[Details]])),COLUMNS($C$10:V12))),"")</f>
        <v/>
      </c>
      <c r="W13" t="str">
        <f>IF(COLUMNS($C$10:W12)&lt;=$A13,INDEX(Table1[[PARTICULAR]:[PARTICULAR]],_xlfn.AGGREGATE(15,3,(Table1[[#This Row],[Details]:[Details]]=$B13)/(Table1[[#This Row],[Details]:[Details]]=$B13)*(ROW(Table1[[Details]:[Details]])-ROW(Table1[[#Headers],[Details]])),COLUMNS($C$10:W12))),"")</f>
        <v/>
      </c>
      <c r="X13" t="str">
        <f>IF(COLUMNS($C$10:X12)&lt;=$A13,INDEX(Table1[[PARTICULAR]:[PARTICULAR]],_xlfn.AGGREGATE(15,3,(Table1[[#This Row],[Details]:[Details]]=$B13)/(Table1[[#This Row],[Details]:[Details]]=$B13)*(ROW(Table1[[Details]:[Details]])-ROW(Table1[[#Headers],[Details]])),COLUMNS($C$10:X12))),"")</f>
        <v/>
      </c>
      <c r="Y13" t="str">
        <f>IF(COLUMNS($C$10:Y12)&lt;=$A13,INDEX(Table1[[PARTICULAR]:[PARTICULAR]],_xlfn.AGGREGATE(15,3,(Table1[[#This Row],[Details]:[Details]]=$B13)/(Table1[[#This Row],[Details]:[Details]]=$B13)*(ROW(Table1[[Details]:[Details]])-ROW(Table1[[#Headers],[Details]])),COLUMNS($C$10:Y12))),"")</f>
        <v/>
      </c>
      <c r="Z13" t="str">
        <f>IF(COLUMNS($C$10:Z12)&lt;=$A13,INDEX(Table1[[PARTICULAR]:[PARTICULAR]],_xlfn.AGGREGATE(15,3,(Table1[[#This Row],[Details]:[Details]]=$B13)/(Table1[[#This Row],[Details]:[Details]]=$B13)*(ROW(Table1[[Details]:[Details]])-ROW(Table1[[#Headers],[Details]])),COLUMNS($C$10:Z12))),"")</f>
        <v/>
      </c>
      <c r="AA13" t="str">
        <f>IF(COLUMNS($C$10:AA12)&lt;=$A13,INDEX(Table1[[PARTICULAR]:[PARTICULAR]],_xlfn.AGGREGATE(15,3,(Table1[[#This Row],[Details]:[Details]]=$B13)/(Table1[[#This Row],[Details]:[Details]]=$B13)*(ROW(Table1[[Details]:[Details]])-ROW(Table1[[#Headers],[Details]])),COLUMNS($C$10:AA12))),"")</f>
        <v/>
      </c>
      <c r="AB13" t="str">
        <f>IF(COLUMNS($C$10:AB12)&lt;=$A13,INDEX(Table1[[PARTICULAR]:[PARTICULAR]],_xlfn.AGGREGATE(15,3,(Table1[[#This Row],[Details]:[Details]]=$B13)/(Table1[[#This Row],[Details]:[Details]]=$B13)*(ROW(Table1[[Details]:[Details]])-ROW(Table1[[#Headers],[Details]])),COLUMNS($C$10:AB12))),"")</f>
        <v/>
      </c>
      <c r="AC13" t="str">
        <f>IF(COLUMNS($C$10:AC12)&lt;=$A13,INDEX(Table1[[PARTICULAR]:[PARTICULAR]],_xlfn.AGGREGATE(15,3,(Table1[[#This Row],[Details]:[Details]]=$B13)/(Table1[[#This Row],[Details]:[Details]]=$B13)*(ROW(Table1[[Details]:[Details]])-ROW(Table1[[#Headers],[Details]])),COLUMNS($C$10:AC12))),"")</f>
        <v/>
      </c>
      <c r="AD13" t="str">
        <f>IF(COLUMNS($C$10:AD12)&lt;=$A13,INDEX(Table1[[PARTICULAR]:[PARTICULAR]],_xlfn.AGGREGATE(15,3,(Table1[[#This Row],[Details]:[Details]]=$B13)/(Table1[[#This Row],[Details]:[Details]]=$B13)*(ROW(Table1[[Details]:[Details]])-ROW(Table1[[#Headers],[Details]])),COLUMNS($C$10:AD12))),"")</f>
        <v/>
      </c>
      <c r="AE13" t="str">
        <f>IF(COLUMNS($C$10:AE12)&lt;=$A13,INDEX(Table1[[PARTICULAR]:[PARTICULAR]],_xlfn.AGGREGATE(15,3,(Table1[[#This Row],[Details]:[Details]]=$B13)/(Table1[[#This Row],[Details]:[Details]]=$B13)*(ROW(Table1[[Details]:[Details]])-ROW(Table1[[#Headers],[Details]])),COLUMNS($C$10:AE12))),"")</f>
        <v/>
      </c>
      <c r="AF13" t="str">
        <f>IF(COLUMNS($C$10:AF12)&lt;=$A13,INDEX(Table1[[PARTICULAR]:[PARTICULAR]],_xlfn.AGGREGATE(15,3,(Table1[[#This Row],[Details]:[Details]]=$B13)/(Table1[[#This Row],[Details]:[Details]]=$B13)*(ROW(Table1[[Details]:[Details]])-ROW(Table1[[#Headers],[Details]])),COLUMNS($C$10:AF12))),"")</f>
        <v/>
      </c>
      <c r="AG13" t="str">
        <f>IF(COLUMNS($C$10:AG12)&lt;=$A13,INDEX(Table1[[PARTICULAR]:[PARTICULAR]],_xlfn.AGGREGATE(15,3,(Table1[[#This Row],[Details]:[Details]]=$B13)/(Table1[[#This Row],[Details]:[Details]]=$B13)*(ROW(Table1[[Details]:[Details]])-ROW(Table1[[#Headers],[Details]])),COLUMNS($C$10:AG12))),"")</f>
        <v/>
      </c>
      <c r="AH13" t="str">
        <f>IF(COLUMNS($C$10:AH12)&lt;=$A13,INDEX(Table1[[PARTICULAR]:[PARTICULAR]],_xlfn.AGGREGATE(15,3,(Table1[[#This Row],[Details]:[Details]]=$B13)/(Table1[[#This Row],[Details]:[Details]]=$B13)*(ROW(Table1[[Details]:[Details]])-ROW(Table1[[#Headers],[Details]])),COLUMNS($C$10:AH12))),"")</f>
        <v/>
      </c>
      <c r="AI13" t="str">
        <f>IF(COLUMNS($C$10:AI12)&lt;=$A13,INDEX(Table1[[PARTICULAR]:[PARTICULAR]],_xlfn.AGGREGATE(15,3,(Table1[[#This Row],[Details]:[Details]]=$B13)/(Table1[[#This Row],[Details]:[Details]]=$B13)*(ROW(Table1[[Details]:[Details]])-ROW(Table1[[#Headers],[Details]])),COLUMNS($C$10:AI12))),"")</f>
        <v/>
      </c>
      <c r="AJ13" t="str">
        <f>IF(COLUMNS($C$10:AJ12)&lt;=$A13,INDEX(Table1[[PARTICULAR]:[PARTICULAR]],_xlfn.AGGREGATE(15,3,(Table1[[#This Row],[Details]:[Details]]=$B13)/(Table1[[#This Row],[Details]:[Details]]=$B13)*(ROW(Table1[[Details]:[Details]])-ROW(Table1[[#Headers],[Details]])),COLUMNS($C$10:AJ12))),"")</f>
        <v/>
      </c>
      <c r="AK13" t="str">
        <f>IF(COLUMNS($C$10:AK12)&lt;=$A13,INDEX(Table1[[PARTICULAR]:[PARTICULAR]],_xlfn.AGGREGATE(15,3,(Table1[[#This Row],[Details]:[Details]]=$B13)/(Table1[[#This Row],[Details]:[Details]]=$B13)*(ROW(Table1[[Details]:[Details]])-ROW(Table1[[#Headers],[Details]])),COLUMNS($C$10:AK12))),"")</f>
        <v/>
      </c>
      <c r="AL13" t="str">
        <f>IF(COLUMNS($C$10:AL12)&lt;=$A13,INDEX(Table1[[PARTICULAR]:[PARTICULAR]],_xlfn.AGGREGATE(15,3,(Table1[[#This Row],[Details]:[Details]]=$B13)/(Table1[[#This Row],[Details]:[Details]]=$B13)*(ROW(Table1[[Details]:[Details]])-ROW(Table1[[#Headers],[Details]])),COLUMNS($C$10:AL12))),"")</f>
        <v/>
      </c>
      <c r="AM13" t="str">
        <f>IF(COLUMNS($C$10:AM12)&lt;=$A13,INDEX(Table1[[PARTICULAR]:[PARTICULAR]],_xlfn.AGGREGATE(15,3,(Table1[[#This Row],[Details]:[Details]]=$B13)/(Table1[[#This Row],[Details]:[Details]]=$B13)*(ROW(Table1[[Details]:[Details]])-ROW(Table1[[#Headers],[Details]])),COLUMNS($C$10:AM12))),"")</f>
        <v/>
      </c>
      <c r="AN13" t="str">
        <f>IF(COLUMNS($C$10:AN12)&lt;=$A13,INDEX(Table1[[PARTICULAR]:[PARTICULAR]],_xlfn.AGGREGATE(15,3,(Table1[[#This Row],[Details]:[Details]]=$B13)/(Table1[[#This Row],[Details]:[Details]]=$B13)*(ROW(Table1[[Details]:[Details]])-ROW(Table1[[#Headers],[Details]])),COLUMNS($C$10:AN12))),"")</f>
        <v/>
      </c>
      <c r="AO13" t="str">
        <f>IF(COLUMNS($C$10:AO12)&lt;=$A13,INDEX(Table1[[PARTICULAR]:[PARTICULAR]],_xlfn.AGGREGATE(15,3,(Table1[[#This Row],[Details]:[Details]]=$B13)/(Table1[[#This Row],[Details]:[Details]]=$B13)*(ROW(Table1[[Details]:[Details]])-ROW(Table1[[#Headers],[Details]])),COLUMNS($C$10:AO12))),"")</f>
        <v/>
      </c>
      <c r="AP13" t="str">
        <f>IF(COLUMNS($C$10:AP12)&lt;=$A13,INDEX(Table1[[PARTICULAR]:[PARTICULAR]],_xlfn.AGGREGATE(15,3,(Table1[[#This Row],[Details]:[Details]]=$B13)/(Table1[[#This Row],[Details]:[Details]]=$B13)*(ROW(Table1[[Details]:[Details]])-ROW(Table1[[#Headers],[Details]])),COLUMNS($C$10:AP12))),"")</f>
        <v/>
      </c>
      <c r="AQ13" t="str">
        <f>IF(COLUMNS($C$10:AQ12)&lt;=$A13,INDEX(Table1[[PARTICULAR]:[PARTICULAR]],_xlfn.AGGREGATE(15,3,(Table1[[#This Row],[Details]:[Details]]=$B13)/(Table1[[#This Row],[Details]:[Details]]=$B13)*(ROW(Table1[[Details]:[Details]])-ROW(Table1[[#Headers],[Details]])),COLUMNS($C$10:AQ12))),"")</f>
        <v/>
      </c>
      <c r="AR13" t="str">
        <f>IF(COLUMNS($C$10:AR12)&lt;=$A13,INDEX(Table1[[PARTICULAR]:[PARTICULAR]],_xlfn.AGGREGATE(15,3,(Table1[[#This Row],[Details]:[Details]]=$B13)/(Table1[[#This Row],[Details]:[Details]]=$B13)*(ROW(Table1[[Details]:[Details]])-ROW(Table1[[#Headers],[Details]])),COLUMNS($C$10:AR12))),"")</f>
        <v/>
      </c>
      <c r="AS13" t="str">
        <f>IF(COLUMNS($C$10:AS12)&lt;=$A13,INDEX(Table1[[PARTICULAR]:[PARTICULAR]],_xlfn.AGGREGATE(15,3,(Table1[[#This Row],[Details]:[Details]]=$B13)/(Table1[[#This Row],[Details]:[Details]]=$B13)*(ROW(Table1[[Details]:[Details]])-ROW(Table1[[#Headers],[Details]])),COLUMNS($C$10:AS12))),"")</f>
        <v/>
      </c>
      <c r="AT13" t="str">
        <f>IF(COLUMNS($C$10:AT12)&lt;=$A13,INDEX(Table1[[PARTICULAR]:[PARTICULAR]],_xlfn.AGGREGATE(15,3,(Table1[[#This Row],[Details]:[Details]]=$B13)/(Table1[[#This Row],[Details]:[Details]]=$B13)*(ROW(Table1[[Details]:[Details]])-ROW(Table1[[#Headers],[Details]])),COLUMNS($C$10:AT12))),"")</f>
        <v/>
      </c>
      <c r="AU13" t="str">
        <f>IF(COLUMNS($C$10:AU12)&lt;=$A13,INDEX(Table1[[PARTICULAR]:[PARTICULAR]],_xlfn.AGGREGATE(15,3,(Table1[[#This Row],[Details]:[Details]]=$B13)/(Table1[[#This Row],[Details]:[Details]]=$B13)*(ROW(Table1[[Details]:[Details]])-ROW(Table1[[#Headers],[Details]])),COLUMNS($C$10:AU12))),"")</f>
        <v/>
      </c>
      <c r="AV13" t="str">
        <f>IF(COLUMNS($C$10:AV12)&lt;=$A13,INDEX(Table1[[PARTICULAR]:[PARTICULAR]],_xlfn.AGGREGATE(15,3,(Table1[[#This Row],[Details]:[Details]]=$B13)/(Table1[[#This Row],[Details]:[Details]]=$B13)*(ROW(Table1[[Details]:[Details]])-ROW(Table1[[#Headers],[Details]])),COLUMNS($C$10:AV12))),"")</f>
        <v/>
      </c>
      <c r="AW13" t="str">
        <f>IF(COLUMNS($C$10:AW12)&lt;=$A13,INDEX(Table1[[PARTICULAR]:[PARTICULAR]],_xlfn.AGGREGATE(15,3,(Table1[[#This Row],[Details]:[Details]]=$B13)/(Table1[[#This Row],[Details]:[Details]]=$B13)*(ROW(Table1[[Details]:[Details]])-ROW(Table1[[#Headers],[Details]])),COLUMNS($C$10:AW12))),"")</f>
        <v/>
      </c>
      <c r="AX13" t="str">
        <f>IF(COLUMNS($C$10:AX12)&lt;=$A13,INDEX(Table1[[PARTICULAR]:[PARTICULAR]],_xlfn.AGGREGATE(15,3,(Table1[[#This Row],[Details]:[Details]]=$B13)/(Table1[[#This Row],[Details]:[Details]]=$B13)*(ROW(Table1[[Details]:[Details]])-ROW(Table1[[#Headers],[Details]])),COLUMNS($C$10:AX12))),"")</f>
        <v/>
      </c>
      <c r="AY13" t="str">
        <f>IF(COLUMNS($C$10:AY12)&lt;=$A13,INDEX(Table1[[PARTICULAR]:[PARTICULAR]],_xlfn.AGGREGATE(15,3,(Table1[[#This Row],[Details]:[Details]]=$B13)/(Table1[[#This Row],[Details]:[Details]]=$B13)*(ROW(Table1[[Details]:[Details]])-ROW(Table1[[#Headers],[Details]])),COLUMNS($C$10:AY12))),"")</f>
        <v/>
      </c>
      <c r="AZ13" t="str">
        <f>IF(COLUMNS($C$10:AZ12)&lt;=$A13,INDEX(Table1[[PARTICULAR]:[PARTICULAR]],_xlfn.AGGREGATE(15,3,(Table1[[#This Row],[Details]:[Details]]=$B13)/(Table1[[#This Row],[Details]:[Details]]=$B13)*(ROW(Table1[[Details]:[Details]])-ROW(Table1[[#Headers],[Details]])),COLUMNS($C$10:AZ12))),"")</f>
        <v/>
      </c>
      <c r="BA13" t="str">
        <f>IF(COLUMNS($C$10:BA12)&lt;=$A13,INDEX(Table1[[PARTICULAR]:[PARTICULAR]],_xlfn.AGGREGATE(15,3,(Table1[[#This Row],[Details]:[Details]]=$B13)/(Table1[[#This Row],[Details]:[Details]]=$B13)*(ROW(Table1[[Details]:[Details]])-ROW(Table1[[#Headers],[Details]])),COLUMNS($C$10:BA12))),"")</f>
        <v/>
      </c>
      <c r="BB13" t="str">
        <f>IF(COLUMNS($C$10:BB12)&lt;=$A13,INDEX(Table1[[PARTICULAR]:[PARTICULAR]],_xlfn.AGGREGATE(15,3,(Table1[[#This Row],[Details]:[Details]]=$B13)/(Table1[[#This Row],[Details]:[Details]]=$B13)*(ROW(Table1[[Details]:[Details]])-ROW(Table1[[#Headers],[Details]])),COLUMNS($C$10:BB12))),"")</f>
        <v/>
      </c>
      <c r="BC13" t="str">
        <f>IF(COLUMNS($C$10:BC12)&lt;=$A13,INDEX(Table1[[PARTICULAR]:[PARTICULAR]],_xlfn.AGGREGATE(15,3,(Table1[[#This Row],[Details]:[Details]]=$B13)/(Table1[[#This Row],[Details]:[Details]]=$B13)*(ROW(Table1[[Details]:[Details]])-ROW(Table1[[#Headers],[Details]])),COLUMNS($C$10:BC12))),"")</f>
        <v/>
      </c>
      <c r="BD13" t="str">
        <f>IF(COLUMNS($C$10:BD12)&lt;=$A13,INDEX(Table1[[PARTICULAR]:[PARTICULAR]],_xlfn.AGGREGATE(15,3,(Table1[[#This Row],[Details]:[Details]]=$B13)/(Table1[[#This Row],[Details]:[Details]]=$B13)*(ROW(Table1[[Details]:[Details]])-ROW(Table1[[#Headers],[Details]])),COLUMNS($C$10:BD12))),"")</f>
        <v/>
      </c>
      <c r="BE13" t="str">
        <f>IF(COLUMNS($C$10:BE12)&lt;=$A13,INDEX(Table1[[PARTICULAR]:[PARTICULAR]],_xlfn.AGGREGATE(15,3,(Table1[[#This Row],[Details]:[Details]]=$B13)/(Table1[[#This Row],[Details]:[Details]]=$B13)*(ROW(Table1[[Details]:[Details]])-ROW(Table1[[#Headers],[Details]])),COLUMNS($C$10:BE12))),"")</f>
        <v/>
      </c>
      <c r="BF13" t="str">
        <f>IF(COLUMNS($C$10:BF12)&lt;=$A13,INDEX(Table1[[PARTICULAR]:[PARTICULAR]],_xlfn.AGGREGATE(15,3,(Table1[[#This Row],[Details]:[Details]]=$B13)/(Table1[[#This Row],[Details]:[Details]]=$B13)*(ROW(Table1[[Details]:[Details]])-ROW(Table1[[#Headers],[Details]])),COLUMNS($C$10:BF12))),"")</f>
        <v/>
      </c>
      <c r="BG13" t="str">
        <f>IF(COLUMNS($C$10:BG12)&lt;=$A13,INDEX(Table1[[PARTICULAR]:[PARTICULAR]],_xlfn.AGGREGATE(15,3,(Table1[[#This Row],[Details]:[Details]]=$B13)/(Table1[[#This Row],[Details]:[Details]]=$B13)*(ROW(Table1[[Details]:[Details]])-ROW(Table1[[#Headers],[Details]])),COLUMNS($C$10:BG12))),"")</f>
        <v/>
      </c>
      <c r="BH13" t="str">
        <f>IF(COLUMNS($C$10:BH12)&lt;=$A13,INDEX(Table1[[PARTICULAR]:[PARTICULAR]],_xlfn.AGGREGATE(15,3,(Table1[[#This Row],[Details]:[Details]]=$B13)/(Table1[[#This Row],[Details]:[Details]]=$B13)*(ROW(Table1[[Details]:[Details]])-ROW(Table1[[#Headers],[Details]])),COLUMNS($C$10:BH12))),"")</f>
        <v/>
      </c>
      <c r="BI13" t="str">
        <f>IF(COLUMNS($C$10:BI12)&lt;=$A13,INDEX(Table1[[PARTICULAR]:[PARTICULAR]],_xlfn.AGGREGATE(15,3,(Table1[[#This Row],[Details]:[Details]]=$B13)/(Table1[[#This Row],[Details]:[Details]]=$B13)*(ROW(Table1[[Details]:[Details]])-ROW(Table1[[#Headers],[Details]])),COLUMNS($C$10:BI12))),"")</f>
        <v/>
      </c>
      <c r="BJ13" t="str">
        <f>IF(COLUMNS($C$10:BJ12)&lt;=$A13,INDEX(Table1[[PARTICULAR]:[PARTICULAR]],_xlfn.AGGREGATE(15,3,(Table1[[#This Row],[Details]:[Details]]=$B13)/(Table1[[#This Row],[Details]:[Details]]=$B13)*(ROW(Table1[[Details]:[Details]])-ROW(Table1[[#Headers],[Details]])),COLUMNS($C$10:BJ12))),"")</f>
        <v/>
      </c>
      <c r="BK13" t="str">
        <f>IF(COLUMNS($C$10:BK12)&lt;=$A13,INDEX(Table1[[PARTICULAR]:[PARTICULAR]],_xlfn.AGGREGATE(15,3,(Table1[[#This Row],[Details]:[Details]]=$B13)/(Table1[[#This Row],[Details]:[Details]]=$B13)*(ROW(Table1[[Details]:[Details]])-ROW(Table1[[#Headers],[Details]])),COLUMNS($C$10:BK12))),"")</f>
        <v/>
      </c>
      <c r="BL13" t="str">
        <f>IF(COLUMNS($C$10:BL12)&lt;=$A13,INDEX(Table1[[PARTICULAR]:[PARTICULAR]],_xlfn.AGGREGATE(15,3,(Table1[[#This Row],[Details]:[Details]]=$B13)/(Table1[[#This Row],[Details]:[Details]]=$B13)*(ROW(Table1[[Details]:[Details]])-ROW(Table1[[#Headers],[Details]])),COLUMNS($C$10:BL12))),"")</f>
        <v/>
      </c>
      <c r="BM13" t="str">
        <f>IF(COLUMNS($C$10:BM12)&lt;=$A13,INDEX(Table1[[PARTICULAR]:[PARTICULAR]],_xlfn.AGGREGATE(15,3,(Table1[[#This Row],[Details]:[Details]]=$B13)/(Table1[[#This Row],[Details]:[Details]]=$B13)*(ROW(Table1[[Details]:[Details]])-ROW(Table1[[#Headers],[Details]])),COLUMNS($C$10:BM12))),"")</f>
        <v/>
      </c>
      <c r="BN13" t="str">
        <f>IF(COLUMNS($C$10:BN12)&lt;=$A13,INDEX(Table1[[PARTICULAR]:[PARTICULAR]],_xlfn.AGGREGATE(15,3,(Table1[[#This Row],[Details]:[Details]]=$B13)/(Table1[[#This Row],[Details]:[Details]]=$B13)*(ROW(Table1[[Details]:[Details]])-ROW(Table1[[#Headers],[Details]])),COLUMNS($C$10:BN12))),"")</f>
        <v/>
      </c>
      <c r="BO13" t="str">
        <f>IF(COLUMNS($C$10:BO12)&lt;=$A13,INDEX(Table1[[PARTICULAR]:[PARTICULAR]],_xlfn.AGGREGATE(15,3,(Table1[[#This Row],[Details]:[Details]]=$B13)/(Table1[[#This Row],[Details]:[Details]]=$B13)*(ROW(Table1[[Details]:[Details]])-ROW(Table1[[#Headers],[Details]])),COLUMNS($C$10:BO12))),"")</f>
        <v/>
      </c>
      <c r="BP13" t="str">
        <f>IF(COLUMNS($C$10:BP12)&lt;=$A13,INDEX(Table1[[PARTICULAR]:[PARTICULAR]],_xlfn.AGGREGATE(15,3,(Table1[[#This Row],[Details]:[Details]]=$B13)/(Table1[[#This Row],[Details]:[Details]]=$B13)*(ROW(Table1[[Details]:[Details]])-ROW(Table1[[#Headers],[Details]])),COLUMNS($C$10:BP12))),"")</f>
        <v/>
      </c>
      <c r="BQ13" t="str">
        <f>IF(COLUMNS($C$10:BQ12)&lt;=$A13,INDEX(Table1[[PARTICULAR]:[PARTICULAR]],_xlfn.AGGREGATE(15,3,(Table1[[#This Row],[Details]:[Details]]=$B13)/(Table1[[#This Row],[Details]:[Details]]=$B13)*(ROW(Table1[[Details]:[Details]])-ROW(Table1[[#Headers],[Details]])),COLUMNS($C$10:BQ12))),"")</f>
        <v/>
      </c>
      <c r="BR13" t="str">
        <f>IF(COLUMNS($C$10:BR12)&lt;=$A13,INDEX(Table1[[PARTICULAR]:[PARTICULAR]],_xlfn.AGGREGATE(15,3,(Table1[[#This Row],[Details]:[Details]]=$B13)/(Table1[[#This Row],[Details]:[Details]]=$B13)*(ROW(Table1[[Details]:[Details]])-ROW(Table1[[#Headers],[Details]])),COLUMNS($C$10:BR12))),"")</f>
        <v/>
      </c>
      <c r="BS13" t="str">
        <f>IF(COLUMNS($C$10:BS12)&lt;=$A13,INDEX(Table1[[PARTICULAR]:[PARTICULAR]],_xlfn.AGGREGATE(15,3,(Table1[[#This Row],[Details]:[Details]]=$B13)/(Table1[[#This Row],[Details]:[Details]]=$B13)*(ROW(Table1[[Details]:[Details]])-ROW(Table1[[#Headers],[Details]])),COLUMNS($C$10:BS12))),"")</f>
        <v/>
      </c>
      <c r="BT13" t="str">
        <f>IF(COLUMNS($C$10:BT12)&lt;=$A13,INDEX(Table1[[PARTICULAR]:[PARTICULAR]],_xlfn.AGGREGATE(15,3,(Table1[[#This Row],[Details]:[Details]]=$B13)/(Table1[[#This Row],[Details]:[Details]]=$B13)*(ROW(Table1[[Details]:[Details]])-ROW(Table1[[#Headers],[Details]])),COLUMNS($C$10:BT12))),"")</f>
        <v/>
      </c>
      <c r="BU13" t="str">
        <f>IF(COLUMNS($C$10:BU12)&lt;=$A13,INDEX(Table1[[PARTICULAR]:[PARTICULAR]],_xlfn.AGGREGATE(15,3,(Table1[[#This Row],[Details]:[Details]]=$B13)/(Table1[[#This Row],[Details]:[Details]]=$B13)*(ROW(Table1[[Details]:[Details]])-ROW(Table1[[#Headers],[Details]])),COLUMNS($C$10:BU12))),"")</f>
        <v/>
      </c>
      <c r="BV13" t="str">
        <f>IF(COLUMNS($C$10:BV12)&lt;=$A13,INDEX(Table1[[PARTICULAR]:[PARTICULAR]],_xlfn.AGGREGATE(15,3,(Table1[[#This Row],[Details]:[Details]]=$B13)/(Table1[[#This Row],[Details]:[Details]]=$B13)*(ROW(Table1[[Details]:[Details]])-ROW(Table1[[#Headers],[Details]])),COLUMNS($C$10:BV12))),"")</f>
        <v/>
      </c>
      <c r="BW13" t="str">
        <f>IF(COLUMNS($C$10:BW12)&lt;=$A13,INDEX(Table1[[PARTICULAR]:[PARTICULAR]],_xlfn.AGGREGATE(15,3,(Table1[[#This Row],[Details]:[Details]]=$B13)/(Table1[[#This Row],[Details]:[Details]]=$B13)*(ROW(Table1[[Details]:[Details]])-ROW(Table1[[#Headers],[Details]])),COLUMNS($C$10:BW12))),"")</f>
        <v/>
      </c>
      <c r="BX13" t="str">
        <f>IF(COLUMNS($C$10:BX12)&lt;=$A13,INDEX(Table1[[PARTICULAR]:[PARTICULAR]],_xlfn.AGGREGATE(15,3,(Table1[[#This Row],[Details]:[Details]]=$B13)/(Table1[[#This Row],[Details]:[Details]]=$B13)*(ROW(Table1[[Details]:[Details]])-ROW(Table1[[#Headers],[Details]])),COLUMNS($C$10:BX12))),"")</f>
        <v/>
      </c>
      <c r="BY13" t="str">
        <f>IF(COLUMNS($C$10:BY12)&lt;=$A13,INDEX(Table1[[PARTICULAR]:[PARTICULAR]],_xlfn.AGGREGATE(15,3,(Table1[[#This Row],[Details]:[Details]]=$B13)/(Table1[[#This Row],[Details]:[Details]]=$B13)*(ROW(Table1[[Details]:[Details]])-ROW(Table1[[#Headers],[Details]])),COLUMNS($C$10:BY12))),"")</f>
        <v/>
      </c>
      <c r="BZ13" t="str">
        <f>IF(COLUMNS($C$10:BZ12)&lt;=$A13,INDEX(Table1[[PARTICULAR]:[PARTICULAR]],_xlfn.AGGREGATE(15,3,(Table1[[#This Row],[Details]:[Details]]=$B13)/(Table1[[#This Row],[Details]:[Details]]=$B13)*(ROW(Table1[[Details]:[Details]])-ROW(Table1[[#Headers],[Details]])),COLUMNS($C$10:BZ12))),"")</f>
        <v/>
      </c>
      <c r="CA13" t="str">
        <f>IF(COLUMNS($C$10:CA12)&lt;=$A13,INDEX(Table1[[PARTICULAR]:[PARTICULAR]],_xlfn.AGGREGATE(15,3,(Table1[[#This Row],[Details]:[Details]]=$B13)/(Table1[[#This Row],[Details]:[Details]]=$B13)*(ROW(Table1[[Details]:[Details]])-ROW(Table1[[#Headers],[Details]])),COLUMNS($C$10:CA12))),"")</f>
        <v/>
      </c>
      <c r="CB13" t="str">
        <f>IF(COLUMNS($C$10:CB12)&lt;=$A13,INDEX(Table1[[PARTICULAR]:[PARTICULAR]],_xlfn.AGGREGATE(15,3,(Table1[[#This Row],[Details]:[Details]]=$B13)/(Table1[[#This Row],[Details]:[Details]]=$B13)*(ROW(Table1[[Details]:[Details]])-ROW(Table1[[#Headers],[Details]])),COLUMNS($C$10:CB12))),"")</f>
        <v/>
      </c>
    </row>
    <row r="14" spans="1:80">
      <c r="A14">
        <f>COUNTIF(Table1[Details],B14)</f>
        <v>19</v>
      </c>
      <c r="B14" s="97" t="str">
        <f>IFERROR(INDEX(Table1[Details],MATCH(0,INDEX(COUNTIF($B$10:B13,Table1[Details]),),0)),"")</f>
        <v>Latex</v>
      </c>
      <c r="C14" t="str">
        <f>IF(COLUMNS($C$10:C13)&lt;=$A14,INDEX(Table1[[PARTICULAR]:[PARTICULAR]],_xlfn.AGGREGATE(15,3,(Table1[[#This Row],[Details]:[Details]]=$B14)/(Table1[[#This Row],[Details]:[Details]]=$B14)*(ROW(Table1[[Details]:[Details]])-ROW(Table1[[#Headers],[Details]])),COLUMNS($C$10:C13))),"")</f>
        <v>Latex Print on Canvas</v>
      </c>
      <c r="D14" t="str">
        <f>IF(COLUMNS($C$10:D13)&lt;=$A14,INDEX(Table1[[PARTICULAR]:[PARTICULAR]],_xlfn.AGGREGATE(15,3,(Table1[[#This Row],[Details]:[Details]]=$B14)/(Table1[[#This Row],[Details]:[Details]]=$B14)*(ROW(Table1[[Details]:[Details]])-ROW(Table1[[#Headers],[Details]])),COLUMNS($C$10:D13))),"")</f>
        <v>2 Side Latex Print on 3mm Sunboard</v>
      </c>
      <c r="E14" t="str">
        <f>IF(COLUMNS($C$10:E13)&lt;=$A14,INDEX(Table1[[PARTICULAR]:[PARTICULAR]],_xlfn.AGGREGATE(15,3,(Table1[[#This Row],[Details]:[Details]]=$B14)/(Table1[[#This Row],[Details]:[Details]]=$B14)*(ROW(Table1[[Details]:[Details]])-ROW(Table1[[#Headers],[Details]])),COLUMNS($C$10:E13))),"")</f>
        <v>2 Side Latex Print on 5mm Sunboard</v>
      </c>
      <c r="F14" t="str">
        <f>IF(COLUMNS($C$10:F13)&lt;=$A14,INDEX(Table1[[PARTICULAR]:[PARTICULAR]],_xlfn.AGGREGATE(15,3,(Table1[[#This Row],[Details]:[Details]]=$B14)/(Table1[[#This Row],[Details]:[Details]]=$B14)*(ROW(Table1[[Details]:[Details]])-ROW(Table1[[#Headers],[Details]])),COLUMNS($C$10:F13))),"")</f>
        <v>LATEX Backlit Vinyl Print With Lam</v>
      </c>
      <c r="G14" t="str">
        <f>IF(COLUMNS($C$10:G13)&lt;=$A14,INDEX(Table1[[PARTICULAR]:[PARTICULAR]],_xlfn.AGGREGATE(15,3,(Table1[[#This Row],[Details]:[Details]]=$B14)/(Table1[[#This Row],[Details]:[Details]]=$B14)*(ROW(Table1[[Details]:[Details]])-ROW(Table1[[#Headers],[Details]])),COLUMNS($C$10:G13))),"")</f>
        <v>Latex Gray Back with Lamination </v>
      </c>
      <c r="H14" t="str">
        <f>IF(COLUMNS($C$10:H13)&lt;=$A14,INDEX(Table1[[PARTICULAR]:[PARTICULAR]],_xlfn.AGGREGATE(15,3,(Table1[[#This Row],[Details]:[Details]]=$B14)/(Table1[[#This Row],[Details]:[Details]]=$B14)*(ROW(Table1[[Details]:[Details]])-ROW(Table1[[#Headers],[Details]])),COLUMNS($C$10:H13))),"")</f>
        <v>Latex Gray Back with Lam+3mm SB</v>
      </c>
      <c r="I14" t="str">
        <f>IF(COLUMNS($C$10:I13)&lt;=$A14,INDEX(Table1[[PARTICULAR]:[PARTICULAR]],_xlfn.AGGREGATE(15,3,(Table1[[#This Row],[Details]:[Details]]=$B14)/(Table1[[#This Row],[Details]:[Details]]=$B14)*(ROW(Table1[[Details]:[Details]])-ROW(Table1[[#Headers],[Details]])),COLUMNS($C$10:I13))),"")</f>
        <v>Latex Gray Back with Lam+5mm SB</v>
      </c>
      <c r="J14" t="str">
        <f>IF(COLUMNS($C$10:J13)&lt;=$A14,INDEX(Table1[[PARTICULAR]:[PARTICULAR]],_xlfn.AGGREGATE(15,3,(Table1[[#This Row],[Details]:[Details]]=$B14)/(Table1[[#This Row],[Details]:[Details]]=$B14)*(ROW(Table1[[Details]:[Details]])-ROW(Table1[[#Headers],[Details]])),COLUMNS($C$10:J13))),"")</f>
        <v>Latex Translite Vinyl Print With Lam</v>
      </c>
      <c r="K14" t="str">
        <f>IF(COLUMNS($C$10:K13)&lt;=$A14,INDEX(Table1[[PARTICULAR]:[PARTICULAR]],_xlfn.AGGREGATE(15,3,(Table1[[#This Row],[Details]:[Details]]=$B14)/(Table1[[#This Row],[Details]:[Details]]=$B14)*(ROW(Table1[[Details]:[Details]])-ROW(Table1[[#Headers],[Details]])),COLUMNS($C$10:K13))),"")</f>
        <v>Latex Vinyl Print With Lam+3mm SB</v>
      </c>
      <c r="L14" t="str">
        <f>IF(COLUMNS($C$10:L13)&lt;=$A14,INDEX(Table1[[PARTICULAR]:[PARTICULAR]],_xlfn.AGGREGATE(15,3,(Table1[[#This Row],[Details]:[Details]]=$B14)/(Table1[[#This Row],[Details]:[Details]]=$B14)*(ROW(Table1[[Details]:[Details]])-ROW(Table1[[#Headers],[Details]])),COLUMNS($C$10:L13))),"")</f>
        <v>Latex Vinyl Print With Lam+5mm SB</v>
      </c>
      <c r="M14" t="str">
        <f>IF(COLUMNS($C$10:M13)&lt;=$A14,INDEX(Table1[[PARTICULAR]:[PARTICULAR]],_xlfn.AGGREGATE(15,3,(Table1[[#This Row],[Details]:[Details]]=$B14)/(Table1[[#This Row],[Details]:[Details]]=$B14)*(ROW(Table1[[Details]:[Details]])-ROW(Table1[[#Headers],[Details]])),COLUMNS($C$10:M13))),"")</f>
        <v>Latex Vinyl Printing</v>
      </c>
      <c r="N14" t="str">
        <f>IF(COLUMNS($C$10:N13)&lt;=$A14,INDEX(Table1[[PARTICULAR]:[PARTICULAR]],_xlfn.AGGREGATE(15,3,(Table1[[#This Row],[Details]:[Details]]=$B14)/(Table1[[#This Row],[Details]:[Details]]=$B14)*(ROW(Table1[[Details]:[Details]])-ROW(Table1[[#Headers],[Details]])),COLUMNS($C$10:N13))),"")</f>
        <v>Latex Vinyl Printing without Lam</v>
      </c>
      <c r="O14" t="str">
        <f>IF(COLUMNS($C$10:O13)&lt;=$A14,INDEX(Table1[[PARTICULAR]:[PARTICULAR]],_xlfn.AGGREGATE(15,3,(Table1[[#This Row],[Details]:[Details]]=$B14)/(Table1[[#This Row],[Details]:[Details]]=$B14)*(ROW(Table1[[Details]:[Details]])-ROW(Table1[[#Headers],[Details]])),COLUMNS($C$10:O13))),"")</f>
        <v>LatexVinyl Print with Matt Lamination</v>
      </c>
      <c r="P14" t="str">
        <f>IF(COLUMNS($C$10:P13)&lt;=$A14,INDEX(Table1[[PARTICULAR]:[PARTICULAR]],_xlfn.AGGREGATE(15,3,(Table1[[#This Row],[Details]:[Details]]=$B14)/(Table1[[#This Row],[Details]:[Details]]=$B14)*(ROW(Table1[[Details]:[Details]])-ROW(Table1[[#Headers],[Details]])),COLUMNS($C$10:P13))),"")</f>
        <v>Latex Translite Print</v>
      </c>
      <c r="Q14" t="str">
        <f>IF(COLUMNS($C$10:Q13)&lt;=$A14,INDEX(Table1[[PARTICULAR]:[PARTICULAR]],_xlfn.AGGREGATE(15,3,(Table1[[#This Row],[Details]:[Details]]=$B14)/(Table1[[#This Row],[Details]:[Details]]=$B14)*(ROW(Table1[[Details]:[Details]])-ROW(Table1[[#Headers],[Details]])),COLUMNS($C$10:Q13))),"")</f>
        <v>Latex Black Back Vinyl Print</v>
      </c>
      <c r="R14" t="str">
        <f>IF(COLUMNS($C$10:R13)&lt;=$A14,INDEX(Table1[[PARTICULAR]:[PARTICULAR]],_xlfn.AGGREGATE(15,3,(Table1[[#This Row],[Details]:[Details]]=$B14)/(Table1[[#This Row],[Details]:[Details]]=$B14)*(ROW(Table1[[Details]:[Details]])-ROW(Table1[[#Headers],[Details]])),COLUMNS($C$10:R13))),"")</f>
        <v>Latex Black Back Vinyl Print With Lam</v>
      </c>
      <c r="S14" t="str">
        <f>IF(COLUMNS($C$10:S13)&lt;=$A14,INDEX(Table1[[PARTICULAR]:[PARTICULAR]],_xlfn.AGGREGATE(15,3,(Table1[[#This Row],[Details]:[Details]]=$B14)/(Table1[[#This Row],[Details]:[Details]]=$B14)*(ROW(Table1[[Details]:[Details]])-ROW(Table1[[#Headers],[Details]])),COLUMNS($C$10:S13))),"")</f>
        <v>Latex Grey Back Vinyl</v>
      </c>
      <c r="T14" t="str">
        <f>IF(COLUMNS($C$10:T13)&lt;=$A14,INDEX(Table1[[PARTICULAR]:[PARTICULAR]],_xlfn.AGGREGATE(15,3,(Table1[[#This Row],[Details]:[Details]]=$B14)/(Table1[[#This Row],[Details]:[Details]]=$B14)*(ROW(Table1[[Details]:[Details]])-ROW(Table1[[#Headers],[Details]])),COLUMNS($C$10:T13))),"")</f>
        <v>LATEX STAR FRONTLIT BLACK BACK FLEX</v>
      </c>
      <c r="U14" t="str">
        <f>IF(COLUMNS($C$10:U13)&lt;=$A14,INDEX(Table1[[PARTICULAR]:[PARTICULAR]],_xlfn.AGGREGATE(15,3,(Table1[[#This Row],[Details]:[Details]]=$B14)/(Table1[[#This Row],[Details]:[Details]]=$B14)*(ROW(Table1[[Details]:[Details]])-ROW(Table1[[#Headers],[Details]])),COLUMNS($C$10:U13))),"")</f>
        <v>LATEX Backlit Vinyl Print Without Lam</v>
      </c>
      <c r="V14" t="str">
        <f>IF(COLUMNS($C$10:V13)&lt;=$A14,INDEX(Table1[[PARTICULAR]:[PARTICULAR]],_xlfn.AGGREGATE(15,3,(Table1[[#This Row],[Details]:[Details]]=$B14)/(Table1[[#This Row],[Details]:[Details]]=$B14)*(ROW(Table1[[Details]:[Details]])-ROW(Table1[[#Headers],[Details]])),COLUMNS($C$10:V13))),"")</f>
        <v/>
      </c>
      <c r="W14" t="str">
        <f>IF(COLUMNS($C$10:W13)&lt;=$A14,INDEX(Table1[[PARTICULAR]:[PARTICULAR]],_xlfn.AGGREGATE(15,3,(Table1[[#This Row],[Details]:[Details]]=$B14)/(Table1[[#This Row],[Details]:[Details]]=$B14)*(ROW(Table1[[Details]:[Details]])-ROW(Table1[[#Headers],[Details]])),COLUMNS($C$10:W13))),"")</f>
        <v/>
      </c>
      <c r="X14" t="str">
        <f>IF(COLUMNS($C$10:X13)&lt;=$A14,INDEX(Table1[[PARTICULAR]:[PARTICULAR]],_xlfn.AGGREGATE(15,3,(Table1[[#This Row],[Details]:[Details]]=$B14)/(Table1[[#This Row],[Details]:[Details]]=$B14)*(ROW(Table1[[Details]:[Details]])-ROW(Table1[[#Headers],[Details]])),COLUMNS($C$10:X13))),"")</f>
        <v/>
      </c>
      <c r="Y14" t="str">
        <f>IF(COLUMNS($C$10:Y13)&lt;=$A14,INDEX(Table1[[PARTICULAR]:[PARTICULAR]],_xlfn.AGGREGATE(15,3,(Table1[[#This Row],[Details]:[Details]]=$B14)/(Table1[[#This Row],[Details]:[Details]]=$B14)*(ROW(Table1[[Details]:[Details]])-ROW(Table1[[#Headers],[Details]])),COLUMNS($C$10:Y13))),"")</f>
        <v/>
      </c>
      <c r="Z14" t="str">
        <f>IF(COLUMNS($C$10:Z13)&lt;=$A14,INDEX(Table1[[PARTICULAR]:[PARTICULAR]],_xlfn.AGGREGATE(15,3,(Table1[[#This Row],[Details]:[Details]]=$B14)/(Table1[[#This Row],[Details]:[Details]]=$B14)*(ROW(Table1[[Details]:[Details]])-ROW(Table1[[#Headers],[Details]])),COLUMNS($C$10:Z13))),"")</f>
        <v/>
      </c>
      <c r="AA14" t="str">
        <f>IF(COLUMNS($C$10:AA13)&lt;=$A14,INDEX(Table1[[PARTICULAR]:[PARTICULAR]],_xlfn.AGGREGATE(15,3,(Table1[[#This Row],[Details]:[Details]]=$B14)/(Table1[[#This Row],[Details]:[Details]]=$B14)*(ROW(Table1[[Details]:[Details]])-ROW(Table1[[#Headers],[Details]])),COLUMNS($C$10:AA13))),"")</f>
        <v/>
      </c>
      <c r="AB14" t="str">
        <f>IF(COLUMNS($C$10:AB13)&lt;=$A14,INDEX(Table1[[PARTICULAR]:[PARTICULAR]],_xlfn.AGGREGATE(15,3,(Table1[[#This Row],[Details]:[Details]]=$B14)/(Table1[[#This Row],[Details]:[Details]]=$B14)*(ROW(Table1[[Details]:[Details]])-ROW(Table1[[#Headers],[Details]])),COLUMNS($C$10:AB13))),"")</f>
        <v/>
      </c>
      <c r="AC14" t="str">
        <f>IF(COLUMNS($C$10:AC13)&lt;=$A14,INDEX(Table1[[PARTICULAR]:[PARTICULAR]],_xlfn.AGGREGATE(15,3,(Table1[[#This Row],[Details]:[Details]]=$B14)/(Table1[[#This Row],[Details]:[Details]]=$B14)*(ROW(Table1[[Details]:[Details]])-ROW(Table1[[#Headers],[Details]])),COLUMNS($C$10:AC13))),"")</f>
        <v/>
      </c>
      <c r="AD14" t="str">
        <f>IF(COLUMNS($C$10:AD13)&lt;=$A14,INDEX(Table1[[PARTICULAR]:[PARTICULAR]],_xlfn.AGGREGATE(15,3,(Table1[[#This Row],[Details]:[Details]]=$B14)/(Table1[[#This Row],[Details]:[Details]]=$B14)*(ROW(Table1[[Details]:[Details]])-ROW(Table1[[#Headers],[Details]])),COLUMNS($C$10:AD13))),"")</f>
        <v/>
      </c>
      <c r="AE14" t="str">
        <f>IF(COLUMNS($C$10:AE13)&lt;=$A14,INDEX(Table1[[PARTICULAR]:[PARTICULAR]],_xlfn.AGGREGATE(15,3,(Table1[[#This Row],[Details]:[Details]]=$B14)/(Table1[[#This Row],[Details]:[Details]]=$B14)*(ROW(Table1[[Details]:[Details]])-ROW(Table1[[#Headers],[Details]])),COLUMNS($C$10:AE13))),"")</f>
        <v/>
      </c>
      <c r="AF14" t="str">
        <f>IF(COLUMNS($C$10:AF13)&lt;=$A14,INDEX(Table1[[PARTICULAR]:[PARTICULAR]],_xlfn.AGGREGATE(15,3,(Table1[[#This Row],[Details]:[Details]]=$B14)/(Table1[[#This Row],[Details]:[Details]]=$B14)*(ROW(Table1[[Details]:[Details]])-ROW(Table1[[#Headers],[Details]])),COLUMNS($C$10:AF13))),"")</f>
        <v/>
      </c>
      <c r="AG14" t="str">
        <f>IF(COLUMNS($C$10:AG13)&lt;=$A14,INDEX(Table1[[PARTICULAR]:[PARTICULAR]],_xlfn.AGGREGATE(15,3,(Table1[[#This Row],[Details]:[Details]]=$B14)/(Table1[[#This Row],[Details]:[Details]]=$B14)*(ROW(Table1[[Details]:[Details]])-ROW(Table1[[#Headers],[Details]])),COLUMNS($C$10:AG13))),"")</f>
        <v/>
      </c>
      <c r="AH14" t="str">
        <f>IF(COLUMNS($C$10:AH13)&lt;=$A14,INDEX(Table1[[PARTICULAR]:[PARTICULAR]],_xlfn.AGGREGATE(15,3,(Table1[[#This Row],[Details]:[Details]]=$B14)/(Table1[[#This Row],[Details]:[Details]]=$B14)*(ROW(Table1[[Details]:[Details]])-ROW(Table1[[#Headers],[Details]])),COLUMNS($C$10:AH13))),"")</f>
        <v/>
      </c>
      <c r="AI14" t="str">
        <f>IF(COLUMNS($C$10:AI13)&lt;=$A14,INDEX(Table1[[PARTICULAR]:[PARTICULAR]],_xlfn.AGGREGATE(15,3,(Table1[[#This Row],[Details]:[Details]]=$B14)/(Table1[[#This Row],[Details]:[Details]]=$B14)*(ROW(Table1[[Details]:[Details]])-ROW(Table1[[#Headers],[Details]])),COLUMNS($C$10:AI13))),"")</f>
        <v/>
      </c>
      <c r="AJ14" t="str">
        <f>IF(COLUMNS($C$10:AJ13)&lt;=$A14,INDEX(Table1[[PARTICULAR]:[PARTICULAR]],_xlfn.AGGREGATE(15,3,(Table1[[#This Row],[Details]:[Details]]=$B14)/(Table1[[#This Row],[Details]:[Details]]=$B14)*(ROW(Table1[[Details]:[Details]])-ROW(Table1[[#Headers],[Details]])),COLUMNS($C$10:AJ13))),"")</f>
        <v/>
      </c>
      <c r="AK14" t="str">
        <f>IF(COLUMNS($C$10:AK13)&lt;=$A14,INDEX(Table1[[PARTICULAR]:[PARTICULAR]],_xlfn.AGGREGATE(15,3,(Table1[[#This Row],[Details]:[Details]]=$B14)/(Table1[[#This Row],[Details]:[Details]]=$B14)*(ROW(Table1[[Details]:[Details]])-ROW(Table1[[#Headers],[Details]])),COLUMNS($C$10:AK13))),"")</f>
        <v/>
      </c>
      <c r="AL14" t="str">
        <f>IF(COLUMNS($C$10:AL13)&lt;=$A14,INDEX(Table1[[PARTICULAR]:[PARTICULAR]],_xlfn.AGGREGATE(15,3,(Table1[[#This Row],[Details]:[Details]]=$B14)/(Table1[[#This Row],[Details]:[Details]]=$B14)*(ROW(Table1[[Details]:[Details]])-ROW(Table1[[#Headers],[Details]])),COLUMNS($C$10:AL13))),"")</f>
        <v/>
      </c>
      <c r="AM14" t="str">
        <f>IF(COLUMNS($C$10:AM13)&lt;=$A14,INDEX(Table1[[PARTICULAR]:[PARTICULAR]],_xlfn.AGGREGATE(15,3,(Table1[[#This Row],[Details]:[Details]]=$B14)/(Table1[[#This Row],[Details]:[Details]]=$B14)*(ROW(Table1[[Details]:[Details]])-ROW(Table1[[#Headers],[Details]])),COLUMNS($C$10:AM13))),"")</f>
        <v/>
      </c>
      <c r="AN14" t="str">
        <f>IF(COLUMNS($C$10:AN13)&lt;=$A14,INDEX(Table1[[PARTICULAR]:[PARTICULAR]],_xlfn.AGGREGATE(15,3,(Table1[[#This Row],[Details]:[Details]]=$B14)/(Table1[[#This Row],[Details]:[Details]]=$B14)*(ROW(Table1[[Details]:[Details]])-ROW(Table1[[#Headers],[Details]])),COLUMNS($C$10:AN13))),"")</f>
        <v/>
      </c>
      <c r="AO14" t="str">
        <f>IF(COLUMNS($C$10:AO13)&lt;=$A14,INDEX(Table1[[PARTICULAR]:[PARTICULAR]],_xlfn.AGGREGATE(15,3,(Table1[[#This Row],[Details]:[Details]]=$B14)/(Table1[[#This Row],[Details]:[Details]]=$B14)*(ROW(Table1[[Details]:[Details]])-ROW(Table1[[#Headers],[Details]])),COLUMNS($C$10:AO13))),"")</f>
        <v/>
      </c>
      <c r="AP14" t="str">
        <f>IF(COLUMNS($C$10:AP13)&lt;=$A14,INDEX(Table1[[PARTICULAR]:[PARTICULAR]],_xlfn.AGGREGATE(15,3,(Table1[[#This Row],[Details]:[Details]]=$B14)/(Table1[[#This Row],[Details]:[Details]]=$B14)*(ROW(Table1[[Details]:[Details]])-ROW(Table1[[#Headers],[Details]])),COLUMNS($C$10:AP13))),"")</f>
        <v/>
      </c>
      <c r="AQ14" t="str">
        <f>IF(COLUMNS($C$10:AQ13)&lt;=$A14,INDEX(Table1[[PARTICULAR]:[PARTICULAR]],_xlfn.AGGREGATE(15,3,(Table1[[#This Row],[Details]:[Details]]=$B14)/(Table1[[#This Row],[Details]:[Details]]=$B14)*(ROW(Table1[[Details]:[Details]])-ROW(Table1[[#Headers],[Details]])),COLUMNS($C$10:AQ13))),"")</f>
        <v/>
      </c>
      <c r="AR14" t="str">
        <f>IF(COLUMNS($C$10:AR13)&lt;=$A14,INDEX(Table1[[PARTICULAR]:[PARTICULAR]],_xlfn.AGGREGATE(15,3,(Table1[[#This Row],[Details]:[Details]]=$B14)/(Table1[[#This Row],[Details]:[Details]]=$B14)*(ROW(Table1[[Details]:[Details]])-ROW(Table1[[#Headers],[Details]])),COLUMNS($C$10:AR13))),"")</f>
        <v/>
      </c>
      <c r="AS14" t="str">
        <f>IF(COLUMNS($C$10:AS13)&lt;=$A14,INDEX(Table1[[PARTICULAR]:[PARTICULAR]],_xlfn.AGGREGATE(15,3,(Table1[[#This Row],[Details]:[Details]]=$B14)/(Table1[[#This Row],[Details]:[Details]]=$B14)*(ROW(Table1[[Details]:[Details]])-ROW(Table1[[#Headers],[Details]])),COLUMNS($C$10:AS13))),"")</f>
        <v/>
      </c>
      <c r="AT14" t="str">
        <f>IF(COLUMNS($C$10:AT13)&lt;=$A14,INDEX(Table1[[PARTICULAR]:[PARTICULAR]],_xlfn.AGGREGATE(15,3,(Table1[[#This Row],[Details]:[Details]]=$B14)/(Table1[[#This Row],[Details]:[Details]]=$B14)*(ROW(Table1[[Details]:[Details]])-ROW(Table1[[#Headers],[Details]])),COLUMNS($C$10:AT13))),"")</f>
        <v/>
      </c>
      <c r="AU14" t="str">
        <f>IF(COLUMNS($C$10:AU13)&lt;=$A14,INDEX(Table1[[PARTICULAR]:[PARTICULAR]],_xlfn.AGGREGATE(15,3,(Table1[[#This Row],[Details]:[Details]]=$B14)/(Table1[[#This Row],[Details]:[Details]]=$B14)*(ROW(Table1[[Details]:[Details]])-ROW(Table1[[#Headers],[Details]])),COLUMNS($C$10:AU13))),"")</f>
        <v/>
      </c>
      <c r="AV14" t="str">
        <f>IF(COLUMNS($C$10:AV13)&lt;=$A14,INDEX(Table1[[PARTICULAR]:[PARTICULAR]],_xlfn.AGGREGATE(15,3,(Table1[[#This Row],[Details]:[Details]]=$B14)/(Table1[[#This Row],[Details]:[Details]]=$B14)*(ROW(Table1[[Details]:[Details]])-ROW(Table1[[#Headers],[Details]])),COLUMNS($C$10:AV13))),"")</f>
        <v/>
      </c>
      <c r="AW14" t="str">
        <f>IF(COLUMNS($C$10:AW13)&lt;=$A14,INDEX(Table1[[PARTICULAR]:[PARTICULAR]],_xlfn.AGGREGATE(15,3,(Table1[[#This Row],[Details]:[Details]]=$B14)/(Table1[[#This Row],[Details]:[Details]]=$B14)*(ROW(Table1[[Details]:[Details]])-ROW(Table1[[#Headers],[Details]])),COLUMNS($C$10:AW13))),"")</f>
        <v/>
      </c>
      <c r="AX14" t="str">
        <f>IF(COLUMNS($C$10:AX13)&lt;=$A14,INDEX(Table1[[PARTICULAR]:[PARTICULAR]],_xlfn.AGGREGATE(15,3,(Table1[[#This Row],[Details]:[Details]]=$B14)/(Table1[[#This Row],[Details]:[Details]]=$B14)*(ROW(Table1[[Details]:[Details]])-ROW(Table1[[#Headers],[Details]])),COLUMNS($C$10:AX13))),"")</f>
        <v/>
      </c>
      <c r="AY14" t="str">
        <f>IF(COLUMNS($C$10:AY13)&lt;=$A14,INDEX(Table1[[PARTICULAR]:[PARTICULAR]],_xlfn.AGGREGATE(15,3,(Table1[[#This Row],[Details]:[Details]]=$B14)/(Table1[[#This Row],[Details]:[Details]]=$B14)*(ROW(Table1[[Details]:[Details]])-ROW(Table1[[#Headers],[Details]])),COLUMNS($C$10:AY13))),"")</f>
        <v/>
      </c>
      <c r="AZ14" t="str">
        <f>IF(COLUMNS($C$10:AZ13)&lt;=$A14,INDEX(Table1[[PARTICULAR]:[PARTICULAR]],_xlfn.AGGREGATE(15,3,(Table1[[#This Row],[Details]:[Details]]=$B14)/(Table1[[#This Row],[Details]:[Details]]=$B14)*(ROW(Table1[[Details]:[Details]])-ROW(Table1[[#Headers],[Details]])),COLUMNS($C$10:AZ13))),"")</f>
        <v/>
      </c>
      <c r="BA14" t="str">
        <f>IF(COLUMNS($C$10:BA13)&lt;=$A14,INDEX(Table1[[PARTICULAR]:[PARTICULAR]],_xlfn.AGGREGATE(15,3,(Table1[[#This Row],[Details]:[Details]]=$B14)/(Table1[[#This Row],[Details]:[Details]]=$B14)*(ROW(Table1[[Details]:[Details]])-ROW(Table1[[#Headers],[Details]])),COLUMNS($C$10:BA13))),"")</f>
        <v/>
      </c>
      <c r="BB14" t="str">
        <f>IF(COLUMNS($C$10:BB13)&lt;=$A14,INDEX(Table1[[PARTICULAR]:[PARTICULAR]],_xlfn.AGGREGATE(15,3,(Table1[[#This Row],[Details]:[Details]]=$B14)/(Table1[[#This Row],[Details]:[Details]]=$B14)*(ROW(Table1[[Details]:[Details]])-ROW(Table1[[#Headers],[Details]])),COLUMNS($C$10:BB13))),"")</f>
        <v/>
      </c>
      <c r="BC14" t="str">
        <f>IF(COLUMNS($C$10:BC13)&lt;=$A14,INDEX(Table1[[PARTICULAR]:[PARTICULAR]],_xlfn.AGGREGATE(15,3,(Table1[[#This Row],[Details]:[Details]]=$B14)/(Table1[[#This Row],[Details]:[Details]]=$B14)*(ROW(Table1[[Details]:[Details]])-ROW(Table1[[#Headers],[Details]])),COLUMNS($C$10:BC13))),"")</f>
        <v/>
      </c>
      <c r="BD14" t="str">
        <f>IF(COLUMNS($C$10:BD13)&lt;=$A14,INDEX(Table1[[PARTICULAR]:[PARTICULAR]],_xlfn.AGGREGATE(15,3,(Table1[[#This Row],[Details]:[Details]]=$B14)/(Table1[[#This Row],[Details]:[Details]]=$B14)*(ROW(Table1[[Details]:[Details]])-ROW(Table1[[#Headers],[Details]])),COLUMNS($C$10:BD13))),"")</f>
        <v/>
      </c>
      <c r="BE14" t="str">
        <f>IF(COLUMNS($C$10:BE13)&lt;=$A14,INDEX(Table1[[PARTICULAR]:[PARTICULAR]],_xlfn.AGGREGATE(15,3,(Table1[[#This Row],[Details]:[Details]]=$B14)/(Table1[[#This Row],[Details]:[Details]]=$B14)*(ROW(Table1[[Details]:[Details]])-ROW(Table1[[#Headers],[Details]])),COLUMNS($C$10:BE13))),"")</f>
        <v/>
      </c>
      <c r="BF14" t="str">
        <f>IF(COLUMNS($C$10:BF13)&lt;=$A14,INDEX(Table1[[PARTICULAR]:[PARTICULAR]],_xlfn.AGGREGATE(15,3,(Table1[[#This Row],[Details]:[Details]]=$B14)/(Table1[[#This Row],[Details]:[Details]]=$B14)*(ROW(Table1[[Details]:[Details]])-ROW(Table1[[#Headers],[Details]])),COLUMNS($C$10:BF13))),"")</f>
        <v/>
      </c>
      <c r="BG14" t="str">
        <f>IF(COLUMNS($C$10:BG13)&lt;=$A14,INDEX(Table1[[PARTICULAR]:[PARTICULAR]],_xlfn.AGGREGATE(15,3,(Table1[[#This Row],[Details]:[Details]]=$B14)/(Table1[[#This Row],[Details]:[Details]]=$B14)*(ROW(Table1[[Details]:[Details]])-ROW(Table1[[#Headers],[Details]])),COLUMNS($C$10:BG13))),"")</f>
        <v/>
      </c>
      <c r="BH14" t="str">
        <f>IF(COLUMNS($C$10:BH13)&lt;=$A14,INDEX(Table1[[PARTICULAR]:[PARTICULAR]],_xlfn.AGGREGATE(15,3,(Table1[[#This Row],[Details]:[Details]]=$B14)/(Table1[[#This Row],[Details]:[Details]]=$B14)*(ROW(Table1[[Details]:[Details]])-ROW(Table1[[#Headers],[Details]])),COLUMNS($C$10:BH13))),"")</f>
        <v/>
      </c>
      <c r="BI14" t="str">
        <f>IF(COLUMNS($C$10:BI13)&lt;=$A14,INDEX(Table1[[PARTICULAR]:[PARTICULAR]],_xlfn.AGGREGATE(15,3,(Table1[[#This Row],[Details]:[Details]]=$B14)/(Table1[[#This Row],[Details]:[Details]]=$B14)*(ROW(Table1[[Details]:[Details]])-ROW(Table1[[#Headers],[Details]])),COLUMNS($C$10:BI13))),"")</f>
        <v/>
      </c>
      <c r="BJ14" t="str">
        <f>IF(COLUMNS($C$10:BJ13)&lt;=$A14,INDEX(Table1[[PARTICULAR]:[PARTICULAR]],_xlfn.AGGREGATE(15,3,(Table1[[#This Row],[Details]:[Details]]=$B14)/(Table1[[#This Row],[Details]:[Details]]=$B14)*(ROW(Table1[[Details]:[Details]])-ROW(Table1[[#Headers],[Details]])),COLUMNS($C$10:BJ13))),"")</f>
        <v/>
      </c>
      <c r="BK14" t="str">
        <f>IF(COLUMNS($C$10:BK13)&lt;=$A14,INDEX(Table1[[PARTICULAR]:[PARTICULAR]],_xlfn.AGGREGATE(15,3,(Table1[[#This Row],[Details]:[Details]]=$B14)/(Table1[[#This Row],[Details]:[Details]]=$B14)*(ROW(Table1[[Details]:[Details]])-ROW(Table1[[#Headers],[Details]])),COLUMNS($C$10:BK13))),"")</f>
        <v/>
      </c>
      <c r="BL14" t="str">
        <f>IF(COLUMNS($C$10:BL13)&lt;=$A14,INDEX(Table1[[PARTICULAR]:[PARTICULAR]],_xlfn.AGGREGATE(15,3,(Table1[[#This Row],[Details]:[Details]]=$B14)/(Table1[[#This Row],[Details]:[Details]]=$B14)*(ROW(Table1[[Details]:[Details]])-ROW(Table1[[#Headers],[Details]])),COLUMNS($C$10:BL13))),"")</f>
        <v/>
      </c>
      <c r="BM14" t="str">
        <f>IF(COLUMNS($C$10:BM13)&lt;=$A14,INDEX(Table1[[PARTICULAR]:[PARTICULAR]],_xlfn.AGGREGATE(15,3,(Table1[[#This Row],[Details]:[Details]]=$B14)/(Table1[[#This Row],[Details]:[Details]]=$B14)*(ROW(Table1[[Details]:[Details]])-ROW(Table1[[#Headers],[Details]])),COLUMNS($C$10:BM13))),"")</f>
        <v/>
      </c>
      <c r="BN14" t="str">
        <f>IF(COLUMNS($C$10:BN13)&lt;=$A14,INDEX(Table1[[PARTICULAR]:[PARTICULAR]],_xlfn.AGGREGATE(15,3,(Table1[[#This Row],[Details]:[Details]]=$B14)/(Table1[[#This Row],[Details]:[Details]]=$B14)*(ROW(Table1[[Details]:[Details]])-ROW(Table1[[#Headers],[Details]])),COLUMNS($C$10:BN13))),"")</f>
        <v/>
      </c>
      <c r="BO14" t="str">
        <f>IF(COLUMNS($C$10:BO13)&lt;=$A14,INDEX(Table1[[PARTICULAR]:[PARTICULAR]],_xlfn.AGGREGATE(15,3,(Table1[[#This Row],[Details]:[Details]]=$B14)/(Table1[[#This Row],[Details]:[Details]]=$B14)*(ROW(Table1[[Details]:[Details]])-ROW(Table1[[#Headers],[Details]])),COLUMNS($C$10:BO13))),"")</f>
        <v/>
      </c>
      <c r="BP14" t="str">
        <f>IF(COLUMNS($C$10:BP13)&lt;=$A14,INDEX(Table1[[PARTICULAR]:[PARTICULAR]],_xlfn.AGGREGATE(15,3,(Table1[[#This Row],[Details]:[Details]]=$B14)/(Table1[[#This Row],[Details]:[Details]]=$B14)*(ROW(Table1[[Details]:[Details]])-ROW(Table1[[#Headers],[Details]])),COLUMNS($C$10:BP13))),"")</f>
        <v/>
      </c>
      <c r="BQ14" t="str">
        <f>IF(COLUMNS($C$10:BQ13)&lt;=$A14,INDEX(Table1[[PARTICULAR]:[PARTICULAR]],_xlfn.AGGREGATE(15,3,(Table1[[#This Row],[Details]:[Details]]=$B14)/(Table1[[#This Row],[Details]:[Details]]=$B14)*(ROW(Table1[[Details]:[Details]])-ROW(Table1[[#Headers],[Details]])),COLUMNS($C$10:BQ13))),"")</f>
        <v/>
      </c>
      <c r="BR14" t="str">
        <f>IF(COLUMNS($C$10:BR13)&lt;=$A14,INDEX(Table1[[PARTICULAR]:[PARTICULAR]],_xlfn.AGGREGATE(15,3,(Table1[[#This Row],[Details]:[Details]]=$B14)/(Table1[[#This Row],[Details]:[Details]]=$B14)*(ROW(Table1[[Details]:[Details]])-ROW(Table1[[#Headers],[Details]])),COLUMNS($C$10:BR13))),"")</f>
        <v/>
      </c>
      <c r="BS14" t="str">
        <f>IF(COLUMNS($C$10:BS13)&lt;=$A14,INDEX(Table1[[PARTICULAR]:[PARTICULAR]],_xlfn.AGGREGATE(15,3,(Table1[[#This Row],[Details]:[Details]]=$B14)/(Table1[[#This Row],[Details]:[Details]]=$B14)*(ROW(Table1[[Details]:[Details]])-ROW(Table1[[#Headers],[Details]])),COLUMNS($C$10:BS13))),"")</f>
        <v/>
      </c>
      <c r="BT14" t="str">
        <f>IF(COLUMNS($C$10:BT13)&lt;=$A14,INDEX(Table1[[PARTICULAR]:[PARTICULAR]],_xlfn.AGGREGATE(15,3,(Table1[[#This Row],[Details]:[Details]]=$B14)/(Table1[[#This Row],[Details]:[Details]]=$B14)*(ROW(Table1[[Details]:[Details]])-ROW(Table1[[#Headers],[Details]])),COLUMNS($C$10:BT13))),"")</f>
        <v/>
      </c>
      <c r="BU14" t="str">
        <f>IF(COLUMNS($C$10:BU13)&lt;=$A14,INDEX(Table1[[PARTICULAR]:[PARTICULAR]],_xlfn.AGGREGATE(15,3,(Table1[[#This Row],[Details]:[Details]]=$B14)/(Table1[[#This Row],[Details]:[Details]]=$B14)*(ROW(Table1[[Details]:[Details]])-ROW(Table1[[#Headers],[Details]])),COLUMNS($C$10:BU13))),"")</f>
        <v/>
      </c>
      <c r="BV14" t="str">
        <f>IF(COLUMNS($C$10:BV13)&lt;=$A14,INDEX(Table1[[PARTICULAR]:[PARTICULAR]],_xlfn.AGGREGATE(15,3,(Table1[[#This Row],[Details]:[Details]]=$B14)/(Table1[[#This Row],[Details]:[Details]]=$B14)*(ROW(Table1[[Details]:[Details]])-ROW(Table1[[#Headers],[Details]])),COLUMNS($C$10:BV13))),"")</f>
        <v/>
      </c>
      <c r="BW14" t="str">
        <f>IF(COLUMNS($C$10:BW13)&lt;=$A14,INDEX(Table1[[PARTICULAR]:[PARTICULAR]],_xlfn.AGGREGATE(15,3,(Table1[[#This Row],[Details]:[Details]]=$B14)/(Table1[[#This Row],[Details]:[Details]]=$B14)*(ROW(Table1[[Details]:[Details]])-ROW(Table1[[#Headers],[Details]])),COLUMNS($C$10:BW13))),"")</f>
        <v/>
      </c>
      <c r="BX14" t="str">
        <f>IF(COLUMNS($C$10:BX13)&lt;=$A14,INDEX(Table1[[PARTICULAR]:[PARTICULAR]],_xlfn.AGGREGATE(15,3,(Table1[[#This Row],[Details]:[Details]]=$B14)/(Table1[[#This Row],[Details]:[Details]]=$B14)*(ROW(Table1[[Details]:[Details]])-ROW(Table1[[#Headers],[Details]])),COLUMNS($C$10:BX13))),"")</f>
        <v/>
      </c>
      <c r="BY14" t="str">
        <f>IF(COLUMNS($C$10:BY13)&lt;=$A14,INDEX(Table1[[PARTICULAR]:[PARTICULAR]],_xlfn.AGGREGATE(15,3,(Table1[[#This Row],[Details]:[Details]]=$B14)/(Table1[[#This Row],[Details]:[Details]]=$B14)*(ROW(Table1[[Details]:[Details]])-ROW(Table1[[#Headers],[Details]])),COLUMNS($C$10:BY13))),"")</f>
        <v/>
      </c>
      <c r="BZ14" t="str">
        <f>IF(COLUMNS($C$10:BZ13)&lt;=$A14,INDEX(Table1[[PARTICULAR]:[PARTICULAR]],_xlfn.AGGREGATE(15,3,(Table1[[#This Row],[Details]:[Details]]=$B14)/(Table1[[#This Row],[Details]:[Details]]=$B14)*(ROW(Table1[[Details]:[Details]])-ROW(Table1[[#Headers],[Details]])),COLUMNS($C$10:BZ13))),"")</f>
        <v/>
      </c>
      <c r="CA14" t="str">
        <f>IF(COLUMNS($C$10:CA13)&lt;=$A14,INDEX(Table1[[PARTICULAR]:[PARTICULAR]],_xlfn.AGGREGATE(15,3,(Table1[[#This Row],[Details]:[Details]]=$B14)/(Table1[[#This Row],[Details]:[Details]]=$B14)*(ROW(Table1[[Details]:[Details]])-ROW(Table1[[#Headers],[Details]])),COLUMNS($C$10:CA13))),"")</f>
        <v/>
      </c>
      <c r="CB14" t="str">
        <f>IF(COLUMNS($C$10:CB13)&lt;=$A14,INDEX(Table1[[PARTICULAR]:[PARTICULAR]],_xlfn.AGGREGATE(15,3,(Table1[[#This Row],[Details]:[Details]]=$B14)/(Table1[[#This Row],[Details]:[Details]]=$B14)*(ROW(Table1[[Details]:[Details]])-ROW(Table1[[#Headers],[Details]])),COLUMNS($C$10:CB13))),"")</f>
        <v/>
      </c>
    </row>
    <row r="15" spans="1:80">
      <c r="A15">
        <f>COUNTIF(Table1[Details],B15)</f>
        <v>1</v>
      </c>
      <c r="B15" s="97" t="str">
        <f>IFERROR(INDEX(Table1[Details],MATCH(0,INDEX(COUNTIF($B$10:B14,Table1[Details]),),0)),"")</f>
        <v>Carpet</v>
      </c>
      <c r="C15" t="str">
        <f>IF(COLUMNS($C$10:C14)&lt;=$A15,INDEX(Table1[[PARTICULAR]:[PARTICULAR]],_xlfn.AGGREGATE(15,3,(Table1[[#This Row],[Details]:[Details]]=$B15)/(Table1[[#This Row],[Details]:[Details]]=$B15)*(ROW(Table1[[Details]:[Details]])-ROW(Table1[[#Headers],[Details]])),COLUMNS($C$10:C14))),"")</f>
        <v>Floor Carpet</v>
      </c>
      <c r="D15" t="str">
        <f>IF(COLUMNS($C$10:D14)&lt;=$A15,INDEX(Table1[[PARTICULAR]:[PARTICULAR]],_xlfn.AGGREGATE(15,3,(Table1[[#This Row],[Details]:[Details]]=$B15)/(Table1[[#This Row],[Details]:[Details]]=$B15)*(ROW(Table1[[Details]:[Details]])-ROW(Table1[[#Headers],[Details]])),COLUMNS($C$10:D14))),"")</f>
        <v/>
      </c>
      <c r="E15" t="str">
        <f>IF(COLUMNS($C$10:E14)&lt;=$A15,INDEX(Table1[[PARTICULAR]:[PARTICULAR]],_xlfn.AGGREGATE(15,3,(Table1[[#This Row],[Details]:[Details]]=$B15)/(Table1[[#This Row],[Details]:[Details]]=$B15)*(ROW(Table1[[Details]:[Details]])-ROW(Table1[[#Headers],[Details]])),COLUMNS($C$10:E14))),"")</f>
        <v/>
      </c>
      <c r="F15" t="str">
        <f>IF(COLUMNS($C$10:F14)&lt;=$A15,INDEX(Table1[[PARTICULAR]:[PARTICULAR]],_xlfn.AGGREGATE(15,3,(Table1[[#This Row],[Details]:[Details]]=$B15)/(Table1[[#This Row],[Details]:[Details]]=$B15)*(ROW(Table1[[Details]:[Details]])-ROW(Table1[[#Headers],[Details]])),COLUMNS($C$10:F14))),"")</f>
        <v/>
      </c>
      <c r="G15" t="str">
        <f>IF(COLUMNS($C$10:G14)&lt;=$A15,INDEX(Table1[[PARTICULAR]:[PARTICULAR]],_xlfn.AGGREGATE(15,3,(Table1[[#This Row],[Details]:[Details]]=$B15)/(Table1[[#This Row],[Details]:[Details]]=$B15)*(ROW(Table1[[Details]:[Details]])-ROW(Table1[[#Headers],[Details]])),COLUMNS($C$10:G14))),"")</f>
        <v/>
      </c>
      <c r="H15" t="str">
        <f>IF(COLUMNS($C$10:H14)&lt;=$A15,INDEX(Table1[[PARTICULAR]:[PARTICULAR]],_xlfn.AGGREGATE(15,3,(Table1[[#This Row],[Details]:[Details]]=$B15)/(Table1[[#This Row],[Details]:[Details]]=$B15)*(ROW(Table1[[Details]:[Details]])-ROW(Table1[[#Headers],[Details]])),COLUMNS($C$10:H14))),"")</f>
        <v/>
      </c>
      <c r="I15" t="str">
        <f>IF(COLUMNS($C$10:I14)&lt;=$A15,INDEX(Table1[[PARTICULAR]:[PARTICULAR]],_xlfn.AGGREGATE(15,3,(Table1[[#This Row],[Details]:[Details]]=$B15)/(Table1[[#This Row],[Details]:[Details]]=$B15)*(ROW(Table1[[Details]:[Details]])-ROW(Table1[[#Headers],[Details]])),COLUMNS($C$10:I14))),"")</f>
        <v/>
      </c>
      <c r="J15" t="str">
        <f>IF(COLUMNS($C$10:J14)&lt;=$A15,INDEX(Table1[[PARTICULAR]:[PARTICULAR]],_xlfn.AGGREGATE(15,3,(Table1[[#This Row],[Details]:[Details]]=$B15)/(Table1[[#This Row],[Details]:[Details]]=$B15)*(ROW(Table1[[Details]:[Details]])-ROW(Table1[[#Headers],[Details]])),COLUMNS($C$10:J14))),"")</f>
        <v/>
      </c>
      <c r="K15" t="str">
        <f>IF(COLUMNS($C$10:K14)&lt;=$A15,INDEX(Table1[[PARTICULAR]:[PARTICULAR]],_xlfn.AGGREGATE(15,3,(Table1[[#This Row],[Details]:[Details]]=$B15)/(Table1[[#This Row],[Details]:[Details]]=$B15)*(ROW(Table1[[Details]:[Details]])-ROW(Table1[[#Headers],[Details]])),COLUMNS($C$10:K14))),"")</f>
        <v/>
      </c>
      <c r="L15" t="str">
        <f>IF(COLUMNS($C$10:L14)&lt;=$A15,INDEX(Table1[[PARTICULAR]:[PARTICULAR]],_xlfn.AGGREGATE(15,3,(Table1[[#This Row],[Details]:[Details]]=$B15)/(Table1[[#This Row],[Details]:[Details]]=$B15)*(ROW(Table1[[Details]:[Details]])-ROW(Table1[[#Headers],[Details]])),COLUMNS($C$10:L14))),"")</f>
        <v/>
      </c>
      <c r="M15" t="str">
        <f>IF(COLUMNS($C$10:M14)&lt;=$A15,INDEX(Table1[[PARTICULAR]:[PARTICULAR]],_xlfn.AGGREGATE(15,3,(Table1[[#This Row],[Details]:[Details]]=$B15)/(Table1[[#This Row],[Details]:[Details]]=$B15)*(ROW(Table1[[Details]:[Details]])-ROW(Table1[[#Headers],[Details]])),COLUMNS($C$10:M14))),"")</f>
        <v/>
      </c>
      <c r="N15" t="str">
        <f>IF(COLUMNS($C$10:N14)&lt;=$A15,INDEX(Table1[[PARTICULAR]:[PARTICULAR]],_xlfn.AGGREGATE(15,3,(Table1[[#This Row],[Details]:[Details]]=$B15)/(Table1[[#This Row],[Details]:[Details]]=$B15)*(ROW(Table1[[Details]:[Details]])-ROW(Table1[[#Headers],[Details]])),COLUMNS($C$10:N14))),"")</f>
        <v/>
      </c>
      <c r="O15" t="str">
        <f>IF(COLUMNS($C$10:O14)&lt;=$A15,INDEX(Table1[[PARTICULAR]:[PARTICULAR]],_xlfn.AGGREGATE(15,3,(Table1[[#This Row],[Details]:[Details]]=$B15)/(Table1[[#This Row],[Details]:[Details]]=$B15)*(ROW(Table1[[Details]:[Details]])-ROW(Table1[[#Headers],[Details]])),COLUMNS($C$10:O14))),"")</f>
        <v/>
      </c>
      <c r="P15" t="str">
        <f>IF(COLUMNS($C$10:P14)&lt;=$A15,INDEX(Table1[[PARTICULAR]:[PARTICULAR]],_xlfn.AGGREGATE(15,3,(Table1[[#This Row],[Details]:[Details]]=$B15)/(Table1[[#This Row],[Details]:[Details]]=$B15)*(ROW(Table1[[Details]:[Details]])-ROW(Table1[[#Headers],[Details]])),COLUMNS($C$10:P14))),"")</f>
        <v/>
      </c>
      <c r="Q15" t="str">
        <f>IF(COLUMNS($C$10:Q14)&lt;=$A15,INDEX(Table1[[PARTICULAR]:[PARTICULAR]],_xlfn.AGGREGATE(15,3,(Table1[[#This Row],[Details]:[Details]]=$B15)/(Table1[[#This Row],[Details]:[Details]]=$B15)*(ROW(Table1[[Details]:[Details]])-ROW(Table1[[#Headers],[Details]])),COLUMNS($C$10:Q14))),"")</f>
        <v/>
      </c>
      <c r="R15" t="str">
        <f>IF(COLUMNS($C$10:R14)&lt;=$A15,INDEX(Table1[[PARTICULAR]:[PARTICULAR]],_xlfn.AGGREGATE(15,3,(Table1[[#This Row],[Details]:[Details]]=$B15)/(Table1[[#This Row],[Details]:[Details]]=$B15)*(ROW(Table1[[Details]:[Details]])-ROW(Table1[[#Headers],[Details]])),COLUMNS($C$10:R14))),"")</f>
        <v/>
      </c>
      <c r="S15" t="str">
        <f>IF(COLUMNS($C$10:S14)&lt;=$A15,INDEX(Table1[[PARTICULAR]:[PARTICULAR]],_xlfn.AGGREGATE(15,3,(Table1[[#This Row],[Details]:[Details]]=$B15)/(Table1[[#This Row],[Details]:[Details]]=$B15)*(ROW(Table1[[Details]:[Details]])-ROW(Table1[[#Headers],[Details]])),COLUMNS($C$10:S14))),"")</f>
        <v/>
      </c>
      <c r="T15" t="str">
        <f>IF(COLUMNS($C$10:T14)&lt;=$A15,INDEX(Table1[[PARTICULAR]:[PARTICULAR]],_xlfn.AGGREGATE(15,3,(Table1[[#This Row],[Details]:[Details]]=$B15)/(Table1[[#This Row],[Details]:[Details]]=$B15)*(ROW(Table1[[Details]:[Details]])-ROW(Table1[[#Headers],[Details]])),COLUMNS($C$10:T14))),"")</f>
        <v/>
      </c>
      <c r="U15" t="str">
        <f>IF(COLUMNS($C$10:U14)&lt;=$A15,INDEX(Table1[[PARTICULAR]:[PARTICULAR]],_xlfn.AGGREGATE(15,3,(Table1[[#This Row],[Details]:[Details]]=$B15)/(Table1[[#This Row],[Details]:[Details]]=$B15)*(ROW(Table1[[Details]:[Details]])-ROW(Table1[[#Headers],[Details]])),COLUMNS($C$10:U14))),"")</f>
        <v/>
      </c>
      <c r="V15" t="str">
        <f>IF(COLUMNS($C$10:V14)&lt;=$A15,INDEX(Table1[[PARTICULAR]:[PARTICULAR]],_xlfn.AGGREGATE(15,3,(Table1[[#This Row],[Details]:[Details]]=$B15)/(Table1[[#This Row],[Details]:[Details]]=$B15)*(ROW(Table1[[Details]:[Details]])-ROW(Table1[[#Headers],[Details]])),COLUMNS($C$10:V14))),"")</f>
        <v/>
      </c>
      <c r="W15" t="str">
        <f>IF(COLUMNS($C$10:W14)&lt;=$A15,INDEX(Table1[[PARTICULAR]:[PARTICULAR]],_xlfn.AGGREGATE(15,3,(Table1[[#This Row],[Details]:[Details]]=$B15)/(Table1[[#This Row],[Details]:[Details]]=$B15)*(ROW(Table1[[Details]:[Details]])-ROW(Table1[[#Headers],[Details]])),COLUMNS($C$10:W14))),"")</f>
        <v/>
      </c>
      <c r="X15" t="str">
        <f>IF(COLUMNS($C$10:X14)&lt;=$A15,INDEX(Table1[[PARTICULAR]:[PARTICULAR]],_xlfn.AGGREGATE(15,3,(Table1[[#This Row],[Details]:[Details]]=$B15)/(Table1[[#This Row],[Details]:[Details]]=$B15)*(ROW(Table1[[Details]:[Details]])-ROW(Table1[[#Headers],[Details]])),COLUMNS($C$10:X14))),"")</f>
        <v/>
      </c>
      <c r="Y15" t="str">
        <f>IF(COLUMNS($C$10:Y14)&lt;=$A15,INDEX(Table1[[PARTICULAR]:[PARTICULAR]],_xlfn.AGGREGATE(15,3,(Table1[[#This Row],[Details]:[Details]]=$B15)/(Table1[[#This Row],[Details]:[Details]]=$B15)*(ROW(Table1[[Details]:[Details]])-ROW(Table1[[#Headers],[Details]])),COLUMNS($C$10:Y14))),"")</f>
        <v/>
      </c>
      <c r="Z15" t="str">
        <f>IF(COLUMNS($C$10:Z14)&lt;=$A15,INDEX(Table1[[PARTICULAR]:[PARTICULAR]],_xlfn.AGGREGATE(15,3,(Table1[[#This Row],[Details]:[Details]]=$B15)/(Table1[[#This Row],[Details]:[Details]]=$B15)*(ROW(Table1[[Details]:[Details]])-ROW(Table1[[#Headers],[Details]])),COLUMNS($C$10:Z14))),"")</f>
        <v/>
      </c>
      <c r="AA15" t="str">
        <f>IF(COLUMNS($C$10:AA14)&lt;=$A15,INDEX(Table1[[PARTICULAR]:[PARTICULAR]],_xlfn.AGGREGATE(15,3,(Table1[[#This Row],[Details]:[Details]]=$B15)/(Table1[[#This Row],[Details]:[Details]]=$B15)*(ROW(Table1[[Details]:[Details]])-ROW(Table1[[#Headers],[Details]])),COLUMNS($C$10:AA14))),"")</f>
        <v/>
      </c>
      <c r="AB15" t="str">
        <f>IF(COLUMNS($C$10:AB14)&lt;=$A15,INDEX(Table1[[PARTICULAR]:[PARTICULAR]],_xlfn.AGGREGATE(15,3,(Table1[[#This Row],[Details]:[Details]]=$B15)/(Table1[[#This Row],[Details]:[Details]]=$B15)*(ROW(Table1[[Details]:[Details]])-ROW(Table1[[#Headers],[Details]])),COLUMNS($C$10:AB14))),"")</f>
        <v/>
      </c>
      <c r="AC15" t="str">
        <f>IF(COLUMNS($C$10:AC14)&lt;=$A15,INDEX(Table1[[PARTICULAR]:[PARTICULAR]],_xlfn.AGGREGATE(15,3,(Table1[[#This Row],[Details]:[Details]]=$B15)/(Table1[[#This Row],[Details]:[Details]]=$B15)*(ROW(Table1[[Details]:[Details]])-ROW(Table1[[#Headers],[Details]])),COLUMNS($C$10:AC14))),"")</f>
        <v/>
      </c>
      <c r="AD15" t="str">
        <f>IF(COLUMNS($C$10:AD14)&lt;=$A15,INDEX(Table1[[PARTICULAR]:[PARTICULAR]],_xlfn.AGGREGATE(15,3,(Table1[[#This Row],[Details]:[Details]]=$B15)/(Table1[[#This Row],[Details]:[Details]]=$B15)*(ROW(Table1[[Details]:[Details]])-ROW(Table1[[#Headers],[Details]])),COLUMNS($C$10:AD14))),"")</f>
        <v/>
      </c>
      <c r="AE15" t="str">
        <f>IF(COLUMNS($C$10:AE14)&lt;=$A15,INDEX(Table1[[PARTICULAR]:[PARTICULAR]],_xlfn.AGGREGATE(15,3,(Table1[[#This Row],[Details]:[Details]]=$B15)/(Table1[[#This Row],[Details]:[Details]]=$B15)*(ROW(Table1[[Details]:[Details]])-ROW(Table1[[#Headers],[Details]])),COLUMNS($C$10:AE14))),"")</f>
        <v/>
      </c>
      <c r="AF15" t="str">
        <f>IF(COLUMNS($C$10:AF14)&lt;=$A15,INDEX(Table1[[PARTICULAR]:[PARTICULAR]],_xlfn.AGGREGATE(15,3,(Table1[[#This Row],[Details]:[Details]]=$B15)/(Table1[[#This Row],[Details]:[Details]]=$B15)*(ROW(Table1[[Details]:[Details]])-ROW(Table1[[#Headers],[Details]])),COLUMNS($C$10:AF14))),"")</f>
        <v/>
      </c>
      <c r="AG15" t="str">
        <f>IF(COLUMNS($C$10:AG14)&lt;=$A15,INDEX(Table1[[PARTICULAR]:[PARTICULAR]],_xlfn.AGGREGATE(15,3,(Table1[[#This Row],[Details]:[Details]]=$B15)/(Table1[[#This Row],[Details]:[Details]]=$B15)*(ROW(Table1[[Details]:[Details]])-ROW(Table1[[#Headers],[Details]])),COLUMNS($C$10:AG14))),"")</f>
        <v/>
      </c>
      <c r="AH15" t="str">
        <f>IF(COLUMNS($C$10:AH14)&lt;=$A15,INDEX(Table1[[PARTICULAR]:[PARTICULAR]],_xlfn.AGGREGATE(15,3,(Table1[[#This Row],[Details]:[Details]]=$B15)/(Table1[[#This Row],[Details]:[Details]]=$B15)*(ROW(Table1[[Details]:[Details]])-ROW(Table1[[#Headers],[Details]])),COLUMNS($C$10:AH14))),"")</f>
        <v/>
      </c>
      <c r="AI15" t="str">
        <f>IF(COLUMNS($C$10:AI14)&lt;=$A15,INDEX(Table1[[PARTICULAR]:[PARTICULAR]],_xlfn.AGGREGATE(15,3,(Table1[[#This Row],[Details]:[Details]]=$B15)/(Table1[[#This Row],[Details]:[Details]]=$B15)*(ROW(Table1[[Details]:[Details]])-ROW(Table1[[#Headers],[Details]])),COLUMNS($C$10:AI14))),"")</f>
        <v/>
      </c>
      <c r="AJ15" t="str">
        <f>IF(COLUMNS($C$10:AJ14)&lt;=$A15,INDEX(Table1[[PARTICULAR]:[PARTICULAR]],_xlfn.AGGREGATE(15,3,(Table1[[#This Row],[Details]:[Details]]=$B15)/(Table1[[#This Row],[Details]:[Details]]=$B15)*(ROW(Table1[[Details]:[Details]])-ROW(Table1[[#Headers],[Details]])),COLUMNS($C$10:AJ14))),"")</f>
        <v/>
      </c>
      <c r="AK15" t="str">
        <f>IF(COLUMNS($C$10:AK14)&lt;=$A15,INDEX(Table1[[PARTICULAR]:[PARTICULAR]],_xlfn.AGGREGATE(15,3,(Table1[[#This Row],[Details]:[Details]]=$B15)/(Table1[[#This Row],[Details]:[Details]]=$B15)*(ROW(Table1[[Details]:[Details]])-ROW(Table1[[#Headers],[Details]])),COLUMNS($C$10:AK14))),"")</f>
        <v/>
      </c>
      <c r="AL15" t="str">
        <f>IF(COLUMNS($C$10:AL14)&lt;=$A15,INDEX(Table1[[PARTICULAR]:[PARTICULAR]],_xlfn.AGGREGATE(15,3,(Table1[[#This Row],[Details]:[Details]]=$B15)/(Table1[[#This Row],[Details]:[Details]]=$B15)*(ROW(Table1[[Details]:[Details]])-ROW(Table1[[#Headers],[Details]])),COLUMNS($C$10:AL14))),"")</f>
        <v/>
      </c>
      <c r="AM15" t="str">
        <f>IF(COLUMNS($C$10:AM14)&lt;=$A15,INDEX(Table1[[PARTICULAR]:[PARTICULAR]],_xlfn.AGGREGATE(15,3,(Table1[[#This Row],[Details]:[Details]]=$B15)/(Table1[[#This Row],[Details]:[Details]]=$B15)*(ROW(Table1[[Details]:[Details]])-ROW(Table1[[#Headers],[Details]])),COLUMNS($C$10:AM14))),"")</f>
        <v/>
      </c>
      <c r="AN15" t="str">
        <f>IF(COLUMNS($C$10:AN14)&lt;=$A15,INDEX(Table1[[PARTICULAR]:[PARTICULAR]],_xlfn.AGGREGATE(15,3,(Table1[[#This Row],[Details]:[Details]]=$B15)/(Table1[[#This Row],[Details]:[Details]]=$B15)*(ROW(Table1[[Details]:[Details]])-ROW(Table1[[#Headers],[Details]])),COLUMNS($C$10:AN14))),"")</f>
        <v/>
      </c>
      <c r="AO15" t="str">
        <f>IF(COLUMNS($C$10:AO14)&lt;=$A15,INDEX(Table1[[PARTICULAR]:[PARTICULAR]],_xlfn.AGGREGATE(15,3,(Table1[[#This Row],[Details]:[Details]]=$B15)/(Table1[[#This Row],[Details]:[Details]]=$B15)*(ROW(Table1[[Details]:[Details]])-ROW(Table1[[#Headers],[Details]])),COLUMNS($C$10:AO14))),"")</f>
        <v/>
      </c>
      <c r="AP15" t="str">
        <f>IF(COLUMNS($C$10:AP14)&lt;=$A15,INDEX(Table1[[PARTICULAR]:[PARTICULAR]],_xlfn.AGGREGATE(15,3,(Table1[[#This Row],[Details]:[Details]]=$B15)/(Table1[[#This Row],[Details]:[Details]]=$B15)*(ROW(Table1[[Details]:[Details]])-ROW(Table1[[#Headers],[Details]])),COLUMNS($C$10:AP14))),"")</f>
        <v/>
      </c>
      <c r="AQ15" t="str">
        <f>IF(COLUMNS($C$10:AQ14)&lt;=$A15,INDEX(Table1[[PARTICULAR]:[PARTICULAR]],_xlfn.AGGREGATE(15,3,(Table1[[#This Row],[Details]:[Details]]=$B15)/(Table1[[#This Row],[Details]:[Details]]=$B15)*(ROW(Table1[[Details]:[Details]])-ROW(Table1[[#Headers],[Details]])),COLUMNS($C$10:AQ14))),"")</f>
        <v/>
      </c>
      <c r="AR15" t="str">
        <f>IF(COLUMNS($C$10:AR14)&lt;=$A15,INDEX(Table1[[PARTICULAR]:[PARTICULAR]],_xlfn.AGGREGATE(15,3,(Table1[[#This Row],[Details]:[Details]]=$B15)/(Table1[[#This Row],[Details]:[Details]]=$B15)*(ROW(Table1[[Details]:[Details]])-ROW(Table1[[#Headers],[Details]])),COLUMNS($C$10:AR14))),"")</f>
        <v/>
      </c>
      <c r="AS15" t="str">
        <f>IF(COLUMNS($C$10:AS14)&lt;=$A15,INDEX(Table1[[PARTICULAR]:[PARTICULAR]],_xlfn.AGGREGATE(15,3,(Table1[[#This Row],[Details]:[Details]]=$B15)/(Table1[[#This Row],[Details]:[Details]]=$B15)*(ROW(Table1[[Details]:[Details]])-ROW(Table1[[#Headers],[Details]])),COLUMNS($C$10:AS14))),"")</f>
        <v/>
      </c>
      <c r="AT15" t="str">
        <f>IF(COLUMNS($C$10:AT14)&lt;=$A15,INDEX(Table1[[PARTICULAR]:[PARTICULAR]],_xlfn.AGGREGATE(15,3,(Table1[[#This Row],[Details]:[Details]]=$B15)/(Table1[[#This Row],[Details]:[Details]]=$B15)*(ROW(Table1[[Details]:[Details]])-ROW(Table1[[#Headers],[Details]])),COLUMNS($C$10:AT14))),"")</f>
        <v/>
      </c>
      <c r="AU15" t="str">
        <f>IF(COLUMNS($C$10:AU14)&lt;=$A15,INDEX(Table1[[PARTICULAR]:[PARTICULAR]],_xlfn.AGGREGATE(15,3,(Table1[[#This Row],[Details]:[Details]]=$B15)/(Table1[[#This Row],[Details]:[Details]]=$B15)*(ROW(Table1[[Details]:[Details]])-ROW(Table1[[#Headers],[Details]])),COLUMNS($C$10:AU14))),"")</f>
        <v/>
      </c>
      <c r="AV15" t="str">
        <f>IF(COLUMNS($C$10:AV14)&lt;=$A15,INDEX(Table1[[PARTICULAR]:[PARTICULAR]],_xlfn.AGGREGATE(15,3,(Table1[[#This Row],[Details]:[Details]]=$B15)/(Table1[[#This Row],[Details]:[Details]]=$B15)*(ROW(Table1[[Details]:[Details]])-ROW(Table1[[#Headers],[Details]])),COLUMNS($C$10:AV14))),"")</f>
        <v/>
      </c>
      <c r="AW15" t="str">
        <f>IF(COLUMNS($C$10:AW14)&lt;=$A15,INDEX(Table1[[PARTICULAR]:[PARTICULAR]],_xlfn.AGGREGATE(15,3,(Table1[[#This Row],[Details]:[Details]]=$B15)/(Table1[[#This Row],[Details]:[Details]]=$B15)*(ROW(Table1[[Details]:[Details]])-ROW(Table1[[#Headers],[Details]])),COLUMNS($C$10:AW14))),"")</f>
        <v/>
      </c>
      <c r="AX15" t="str">
        <f>IF(COLUMNS($C$10:AX14)&lt;=$A15,INDEX(Table1[[PARTICULAR]:[PARTICULAR]],_xlfn.AGGREGATE(15,3,(Table1[[#This Row],[Details]:[Details]]=$B15)/(Table1[[#This Row],[Details]:[Details]]=$B15)*(ROW(Table1[[Details]:[Details]])-ROW(Table1[[#Headers],[Details]])),COLUMNS($C$10:AX14))),"")</f>
        <v/>
      </c>
      <c r="AY15" t="str">
        <f>IF(COLUMNS($C$10:AY14)&lt;=$A15,INDEX(Table1[[PARTICULAR]:[PARTICULAR]],_xlfn.AGGREGATE(15,3,(Table1[[#This Row],[Details]:[Details]]=$B15)/(Table1[[#This Row],[Details]:[Details]]=$B15)*(ROW(Table1[[Details]:[Details]])-ROW(Table1[[#Headers],[Details]])),COLUMNS($C$10:AY14))),"")</f>
        <v/>
      </c>
      <c r="AZ15" t="str">
        <f>IF(COLUMNS($C$10:AZ14)&lt;=$A15,INDEX(Table1[[PARTICULAR]:[PARTICULAR]],_xlfn.AGGREGATE(15,3,(Table1[[#This Row],[Details]:[Details]]=$B15)/(Table1[[#This Row],[Details]:[Details]]=$B15)*(ROW(Table1[[Details]:[Details]])-ROW(Table1[[#Headers],[Details]])),COLUMNS($C$10:AZ14))),"")</f>
        <v/>
      </c>
      <c r="BA15" t="str">
        <f>IF(COLUMNS($C$10:BA14)&lt;=$A15,INDEX(Table1[[PARTICULAR]:[PARTICULAR]],_xlfn.AGGREGATE(15,3,(Table1[[#This Row],[Details]:[Details]]=$B15)/(Table1[[#This Row],[Details]:[Details]]=$B15)*(ROW(Table1[[Details]:[Details]])-ROW(Table1[[#Headers],[Details]])),COLUMNS($C$10:BA14))),"")</f>
        <v/>
      </c>
      <c r="BB15" t="str">
        <f>IF(COLUMNS($C$10:BB14)&lt;=$A15,INDEX(Table1[[PARTICULAR]:[PARTICULAR]],_xlfn.AGGREGATE(15,3,(Table1[[#This Row],[Details]:[Details]]=$B15)/(Table1[[#This Row],[Details]:[Details]]=$B15)*(ROW(Table1[[Details]:[Details]])-ROW(Table1[[#Headers],[Details]])),COLUMNS($C$10:BB14))),"")</f>
        <v/>
      </c>
      <c r="BC15" t="str">
        <f>IF(COLUMNS($C$10:BC14)&lt;=$A15,INDEX(Table1[[PARTICULAR]:[PARTICULAR]],_xlfn.AGGREGATE(15,3,(Table1[[#This Row],[Details]:[Details]]=$B15)/(Table1[[#This Row],[Details]:[Details]]=$B15)*(ROW(Table1[[Details]:[Details]])-ROW(Table1[[#Headers],[Details]])),COLUMNS($C$10:BC14))),"")</f>
        <v/>
      </c>
      <c r="BD15" t="str">
        <f>IF(COLUMNS($C$10:BD14)&lt;=$A15,INDEX(Table1[[PARTICULAR]:[PARTICULAR]],_xlfn.AGGREGATE(15,3,(Table1[[#This Row],[Details]:[Details]]=$B15)/(Table1[[#This Row],[Details]:[Details]]=$B15)*(ROW(Table1[[Details]:[Details]])-ROW(Table1[[#Headers],[Details]])),COLUMNS($C$10:BD14))),"")</f>
        <v/>
      </c>
      <c r="BE15" t="str">
        <f>IF(COLUMNS($C$10:BE14)&lt;=$A15,INDEX(Table1[[PARTICULAR]:[PARTICULAR]],_xlfn.AGGREGATE(15,3,(Table1[[#This Row],[Details]:[Details]]=$B15)/(Table1[[#This Row],[Details]:[Details]]=$B15)*(ROW(Table1[[Details]:[Details]])-ROW(Table1[[#Headers],[Details]])),COLUMNS($C$10:BE14))),"")</f>
        <v/>
      </c>
      <c r="BF15" t="str">
        <f>IF(COLUMNS($C$10:BF14)&lt;=$A15,INDEX(Table1[[PARTICULAR]:[PARTICULAR]],_xlfn.AGGREGATE(15,3,(Table1[[#This Row],[Details]:[Details]]=$B15)/(Table1[[#This Row],[Details]:[Details]]=$B15)*(ROW(Table1[[Details]:[Details]])-ROW(Table1[[#Headers],[Details]])),COLUMNS($C$10:BF14))),"")</f>
        <v/>
      </c>
      <c r="BG15" t="str">
        <f>IF(COLUMNS($C$10:BG14)&lt;=$A15,INDEX(Table1[[PARTICULAR]:[PARTICULAR]],_xlfn.AGGREGATE(15,3,(Table1[[#This Row],[Details]:[Details]]=$B15)/(Table1[[#This Row],[Details]:[Details]]=$B15)*(ROW(Table1[[Details]:[Details]])-ROW(Table1[[#Headers],[Details]])),COLUMNS($C$10:BG14))),"")</f>
        <v/>
      </c>
      <c r="BH15" t="str">
        <f>IF(COLUMNS($C$10:BH14)&lt;=$A15,INDEX(Table1[[PARTICULAR]:[PARTICULAR]],_xlfn.AGGREGATE(15,3,(Table1[[#This Row],[Details]:[Details]]=$B15)/(Table1[[#This Row],[Details]:[Details]]=$B15)*(ROW(Table1[[Details]:[Details]])-ROW(Table1[[#Headers],[Details]])),COLUMNS($C$10:BH14))),"")</f>
        <v/>
      </c>
      <c r="BI15" t="str">
        <f>IF(COLUMNS($C$10:BI14)&lt;=$A15,INDEX(Table1[[PARTICULAR]:[PARTICULAR]],_xlfn.AGGREGATE(15,3,(Table1[[#This Row],[Details]:[Details]]=$B15)/(Table1[[#This Row],[Details]:[Details]]=$B15)*(ROW(Table1[[Details]:[Details]])-ROW(Table1[[#Headers],[Details]])),COLUMNS($C$10:BI14))),"")</f>
        <v/>
      </c>
      <c r="BJ15" t="str">
        <f>IF(COLUMNS($C$10:BJ14)&lt;=$A15,INDEX(Table1[[PARTICULAR]:[PARTICULAR]],_xlfn.AGGREGATE(15,3,(Table1[[#This Row],[Details]:[Details]]=$B15)/(Table1[[#This Row],[Details]:[Details]]=$B15)*(ROW(Table1[[Details]:[Details]])-ROW(Table1[[#Headers],[Details]])),COLUMNS($C$10:BJ14))),"")</f>
        <v/>
      </c>
      <c r="BK15" t="str">
        <f>IF(COLUMNS($C$10:BK14)&lt;=$A15,INDEX(Table1[[PARTICULAR]:[PARTICULAR]],_xlfn.AGGREGATE(15,3,(Table1[[#This Row],[Details]:[Details]]=$B15)/(Table1[[#This Row],[Details]:[Details]]=$B15)*(ROW(Table1[[Details]:[Details]])-ROW(Table1[[#Headers],[Details]])),COLUMNS($C$10:BK14))),"")</f>
        <v/>
      </c>
      <c r="BL15" t="str">
        <f>IF(COLUMNS($C$10:BL14)&lt;=$A15,INDEX(Table1[[PARTICULAR]:[PARTICULAR]],_xlfn.AGGREGATE(15,3,(Table1[[#This Row],[Details]:[Details]]=$B15)/(Table1[[#This Row],[Details]:[Details]]=$B15)*(ROW(Table1[[Details]:[Details]])-ROW(Table1[[#Headers],[Details]])),COLUMNS($C$10:BL14))),"")</f>
        <v/>
      </c>
      <c r="BM15" t="str">
        <f>IF(COLUMNS($C$10:BM14)&lt;=$A15,INDEX(Table1[[PARTICULAR]:[PARTICULAR]],_xlfn.AGGREGATE(15,3,(Table1[[#This Row],[Details]:[Details]]=$B15)/(Table1[[#This Row],[Details]:[Details]]=$B15)*(ROW(Table1[[Details]:[Details]])-ROW(Table1[[#Headers],[Details]])),COLUMNS($C$10:BM14))),"")</f>
        <v/>
      </c>
      <c r="BN15" t="str">
        <f>IF(COLUMNS($C$10:BN14)&lt;=$A15,INDEX(Table1[[PARTICULAR]:[PARTICULAR]],_xlfn.AGGREGATE(15,3,(Table1[[#This Row],[Details]:[Details]]=$B15)/(Table1[[#This Row],[Details]:[Details]]=$B15)*(ROW(Table1[[Details]:[Details]])-ROW(Table1[[#Headers],[Details]])),COLUMNS($C$10:BN14))),"")</f>
        <v/>
      </c>
      <c r="BO15" t="str">
        <f>IF(COLUMNS($C$10:BO14)&lt;=$A15,INDEX(Table1[[PARTICULAR]:[PARTICULAR]],_xlfn.AGGREGATE(15,3,(Table1[[#This Row],[Details]:[Details]]=$B15)/(Table1[[#This Row],[Details]:[Details]]=$B15)*(ROW(Table1[[Details]:[Details]])-ROW(Table1[[#Headers],[Details]])),COLUMNS($C$10:BO14))),"")</f>
        <v/>
      </c>
      <c r="BP15" t="str">
        <f>IF(COLUMNS($C$10:BP14)&lt;=$A15,INDEX(Table1[[PARTICULAR]:[PARTICULAR]],_xlfn.AGGREGATE(15,3,(Table1[[#This Row],[Details]:[Details]]=$B15)/(Table1[[#This Row],[Details]:[Details]]=$B15)*(ROW(Table1[[Details]:[Details]])-ROW(Table1[[#Headers],[Details]])),COLUMNS($C$10:BP14))),"")</f>
        <v/>
      </c>
      <c r="BQ15" t="str">
        <f>IF(COLUMNS($C$10:BQ14)&lt;=$A15,INDEX(Table1[[PARTICULAR]:[PARTICULAR]],_xlfn.AGGREGATE(15,3,(Table1[[#This Row],[Details]:[Details]]=$B15)/(Table1[[#This Row],[Details]:[Details]]=$B15)*(ROW(Table1[[Details]:[Details]])-ROW(Table1[[#Headers],[Details]])),COLUMNS($C$10:BQ14))),"")</f>
        <v/>
      </c>
      <c r="BR15" t="str">
        <f>IF(COLUMNS($C$10:BR14)&lt;=$A15,INDEX(Table1[[PARTICULAR]:[PARTICULAR]],_xlfn.AGGREGATE(15,3,(Table1[[#This Row],[Details]:[Details]]=$B15)/(Table1[[#This Row],[Details]:[Details]]=$B15)*(ROW(Table1[[Details]:[Details]])-ROW(Table1[[#Headers],[Details]])),COLUMNS($C$10:BR14))),"")</f>
        <v/>
      </c>
      <c r="BS15" t="str">
        <f>IF(COLUMNS($C$10:BS14)&lt;=$A15,INDEX(Table1[[PARTICULAR]:[PARTICULAR]],_xlfn.AGGREGATE(15,3,(Table1[[#This Row],[Details]:[Details]]=$B15)/(Table1[[#This Row],[Details]:[Details]]=$B15)*(ROW(Table1[[Details]:[Details]])-ROW(Table1[[#Headers],[Details]])),COLUMNS($C$10:BS14))),"")</f>
        <v/>
      </c>
      <c r="BT15" t="str">
        <f>IF(COLUMNS($C$10:BT14)&lt;=$A15,INDEX(Table1[[PARTICULAR]:[PARTICULAR]],_xlfn.AGGREGATE(15,3,(Table1[[#This Row],[Details]:[Details]]=$B15)/(Table1[[#This Row],[Details]:[Details]]=$B15)*(ROW(Table1[[Details]:[Details]])-ROW(Table1[[#Headers],[Details]])),COLUMNS($C$10:BT14))),"")</f>
        <v/>
      </c>
      <c r="BU15" t="str">
        <f>IF(COLUMNS($C$10:BU14)&lt;=$A15,INDEX(Table1[[PARTICULAR]:[PARTICULAR]],_xlfn.AGGREGATE(15,3,(Table1[[#This Row],[Details]:[Details]]=$B15)/(Table1[[#This Row],[Details]:[Details]]=$B15)*(ROW(Table1[[Details]:[Details]])-ROW(Table1[[#Headers],[Details]])),COLUMNS($C$10:BU14))),"")</f>
        <v/>
      </c>
      <c r="BV15" t="str">
        <f>IF(COLUMNS($C$10:BV14)&lt;=$A15,INDEX(Table1[[PARTICULAR]:[PARTICULAR]],_xlfn.AGGREGATE(15,3,(Table1[[#This Row],[Details]:[Details]]=$B15)/(Table1[[#This Row],[Details]:[Details]]=$B15)*(ROW(Table1[[Details]:[Details]])-ROW(Table1[[#Headers],[Details]])),COLUMNS($C$10:BV14))),"")</f>
        <v/>
      </c>
      <c r="BW15" t="str">
        <f>IF(COLUMNS($C$10:BW14)&lt;=$A15,INDEX(Table1[[PARTICULAR]:[PARTICULAR]],_xlfn.AGGREGATE(15,3,(Table1[[#This Row],[Details]:[Details]]=$B15)/(Table1[[#This Row],[Details]:[Details]]=$B15)*(ROW(Table1[[Details]:[Details]])-ROW(Table1[[#Headers],[Details]])),COLUMNS($C$10:BW14))),"")</f>
        <v/>
      </c>
      <c r="BX15" t="str">
        <f>IF(COLUMNS($C$10:BX14)&lt;=$A15,INDEX(Table1[[PARTICULAR]:[PARTICULAR]],_xlfn.AGGREGATE(15,3,(Table1[[#This Row],[Details]:[Details]]=$B15)/(Table1[[#This Row],[Details]:[Details]]=$B15)*(ROW(Table1[[Details]:[Details]])-ROW(Table1[[#Headers],[Details]])),COLUMNS($C$10:BX14))),"")</f>
        <v/>
      </c>
      <c r="BY15" t="str">
        <f>IF(COLUMNS($C$10:BY14)&lt;=$A15,INDEX(Table1[[PARTICULAR]:[PARTICULAR]],_xlfn.AGGREGATE(15,3,(Table1[[#This Row],[Details]:[Details]]=$B15)/(Table1[[#This Row],[Details]:[Details]]=$B15)*(ROW(Table1[[Details]:[Details]])-ROW(Table1[[#Headers],[Details]])),COLUMNS($C$10:BY14))),"")</f>
        <v/>
      </c>
      <c r="BZ15" t="str">
        <f>IF(COLUMNS($C$10:BZ14)&lt;=$A15,INDEX(Table1[[PARTICULAR]:[PARTICULAR]],_xlfn.AGGREGATE(15,3,(Table1[[#This Row],[Details]:[Details]]=$B15)/(Table1[[#This Row],[Details]:[Details]]=$B15)*(ROW(Table1[[Details]:[Details]])-ROW(Table1[[#Headers],[Details]])),COLUMNS($C$10:BZ14))),"")</f>
        <v/>
      </c>
      <c r="CA15" t="str">
        <f>IF(COLUMNS($C$10:CA14)&lt;=$A15,INDEX(Table1[[PARTICULAR]:[PARTICULAR]],_xlfn.AGGREGATE(15,3,(Table1[[#This Row],[Details]:[Details]]=$B15)/(Table1[[#This Row],[Details]:[Details]]=$B15)*(ROW(Table1[[Details]:[Details]])-ROW(Table1[[#Headers],[Details]])),COLUMNS($C$10:CA14))),"")</f>
        <v/>
      </c>
      <c r="CB15" t="str">
        <f>IF(COLUMNS($C$10:CB14)&lt;=$A15,INDEX(Table1[[PARTICULAR]:[PARTICULAR]],_xlfn.AGGREGATE(15,3,(Table1[[#This Row],[Details]:[Details]]=$B15)/(Table1[[#This Row],[Details]:[Details]]=$B15)*(ROW(Table1[[Details]:[Details]])-ROW(Table1[[#Headers],[Details]])),COLUMNS($C$10:CB14))),"")</f>
        <v/>
      </c>
    </row>
    <row r="16" spans="1:80">
      <c r="A16">
        <f>COUNTIF(Table1[Details],B16)</f>
        <v>15</v>
      </c>
      <c r="B16" s="97" t="str">
        <f>IFERROR(INDEX(Table1[Details],MATCH(0,INDEX(COUNTIF($B$10:B15,Table1[Details]),),0)),"")</f>
        <v>Vinyl</v>
      </c>
      <c r="C16" t="str">
        <f>IF(COLUMNS($C$10:C15)&lt;=$A16,INDEX(Table1[[PARTICULAR]:[PARTICULAR]],_xlfn.AGGREGATE(15,3,(Table1[[#This Row],[Details]:[Details]]=$B16)/(Table1[[#This Row],[Details]:[Details]]=$B16)*(ROW(Table1[[Details]:[Details]])-ROW(Table1[[#Headers],[Details]])),COLUMNS($C$10:C15))),"")</f>
        <v>Clear Vinyl Printing                    </v>
      </c>
      <c r="D16" t="str">
        <f>IF(COLUMNS($C$10:D15)&lt;=$A16,INDEX(Table1[[PARTICULAR]:[PARTICULAR]],_xlfn.AGGREGATE(15,3,(Table1[[#This Row],[Details]:[Details]]=$B16)/(Table1[[#This Row],[Details]:[Details]]=$B16)*(ROW(Table1[[Details]:[Details]])-ROW(Table1[[#Headers],[Details]])),COLUMNS($C$10:D15))),"")</f>
        <v>Frosted Vinyl Cutting</v>
      </c>
      <c r="E16" t="str">
        <f>IF(COLUMNS($C$10:E15)&lt;=$A16,INDEX(Table1[[PARTICULAR]:[PARTICULAR]],_xlfn.AGGREGATE(15,3,(Table1[[#This Row],[Details]:[Details]]=$B16)/(Table1[[#This Row],[Details]:[Details]]=$B16)*(ROW(Table1[[Details]:[Details]])-ROW(Table1[[#Headers],[Details]])),COLUMNS($C$10:E15))),"")</f>
        <v>3M Frosted Vinyl</v>
      </c>
      <c r="F16" t="str">
        <f>IF(COLUMNS($C$10:F15)&lt;=$A16,INDEX(Table1[[PARTICULAR]:[PARTICULAR]],_xlfn.AGGREGATE(15,3,(Table1[[#This Row],[Details]:[Details]]=$B16)/(Table1[[#This Row],[Details]:[Details]]=$B16)*(ROW(Table1[[Details]:[Details]])-ROW(Table1[[#Headers],[Details]])),COLUMNS($C$10:F15))),"")</f>
        <v>Lamination</v>
      </c>
      <c r="G16" t="str">
        <f>IF(COLUMNS($C$10:G15)&lt;=$A16,INDEX(Table1[[PARTICULAR]:[PARTICULAR]],_xlfn.AGGREGATE(15,3,(Table1[[#This Row],[Details]:[Details]]=$B16)/(Table1[[#This Row],[Details]:[Details]]=$B16)*(ROW(Table1[[Details]:[Details]])-ROW(Table1[[#Headers],[Details]])),COLUMNS($C$10:G15))),"")</f>
        <v>BLACK VINYL</v>
      </c>
      <c r="H16" t="str">
        <f>IF(COLUMNS($C$10:H15)&lt;=$A16,INDEX(Table1[[PARTICULAR]:[PARTICULAR]],_xlfn.AGGREGATE(15,3,(Table1[[#This Row],[Details]:[Details]]=$B16)/(Table1[[#This Row],[Details]:[Details]]=$B16)*(ROW(Table1[[Details]:[Details]])-ROW(Table1[[#Headers],[Details]])),COLUMNS($C$10:H15))),"")</f>
        <v>GOLDEN BRUSH VINYL</v>
      </c>
      <c r="I16" t="str">
        <f>IF(COLUMNS($C$10:I15)&lt;=$A16,INDEX(Table1[[PARTICULAR]:[PARTICULAR]],_xlfn.AGGREGATE(15,3,(Table1[[#This Row],[Details]:[Details]]=$B16)/(Table1[[#This Row],[Details]:[Details]]=$B16)*(ROW(Table1[[Details]:[Details]])-ROW(Table1[[#Headers],[Details]])),COLUMNS($C$10:I15))),"")</f>
        <v>Grey Back Vinyl</v>
      </c>
      <c r="J16" t="str">
        <f>IF(COLUMNS($C$10:J15)&lt;=$A16,INDEX(Table1[[PARTICULAR]:[PARTICULAR]],_xlfn.AGGREGATE(15,3,(Table1[[#This Row],[Details]:[Details]]=$B16)/(Table1[[#This Row],[Details]:[Details]]=$B16)*(ROW(Table1[[Details]:[Details]])-ROW(Table1[[#Headers],[Details]])),COLUMNS($C$10:J15))),"")</f>
        <v>Plain Frosted Vinyl</v>
      </c>
      <c r="K16" t="str">
        <f>IF(COLUMNS($C$10:K15)&lt;=$A16,INDEX(Table1[[PARTICULAR]:[PARTICULAR]],_xlfn.AGGREGATE(15,3,(Table1[[#This Row],[Details]:[Details]]=$B16)/(Table1[[#This Row],[Details]:[Details]]=$B16)*(ROW(Table1[[Details]:[Details]])-ROW(Table1[[#Headers],[Details]])),COLUMNS($C$10:K15))),"")</f>
        <v>Plain Vinyl</v>
      </c>
      <c r="L16" t="str">
        <f>IF(COLUMNS($C$10:L15)&lt;=$A16,INDEX(Table1[[PARTICULAR]:[PARTICULAR]],_xlfn.AGGREGATE(15,3,(Table1[[#This Row],[Details]:[Details]]=$B16)/(Table1[[#This Row],[Details]:[Details]]=$B16)*(ROW(Table1[[Details]:[Details]])-ROW(Table1[[#Headers],[Details]])),COLUMNS($C$10:L15))),"")</f>
        <v>Vinyl with vinyl cut</v>
      </c>
      <c r="M16" t="str">
        <f>IF(COLUMNS($C$10:M15)&lt;=$A16,INDEX(Table1[[PARTICULAR]:[PARTICULAR]],_xlfn.AGGREGATE(15,3,(Table1[[#This Row],[Details]:[Details]]=$B16)/(Table1[[#This Row],[Details]:[Details]]=$B16)*(ROW(Table1[[Details]:[Details]])-ROW(Table1[[#Headers],[Details]])),COLUMNS($C$10:M15))),"")</f>
        <v>3m Solvent Matt Vinyl  </v>
      </c>
      <c r="N16" t="str">
        <f>IF(COLUMNS($C$10:N15)&lt;=$A16,INDEX(Table1[[PARTICULAR]:[PARTICULAR]],_xlfn.AGGREGATE(15,3,(Table1[[#This Row],[Details]:[Details]]=$B16)/(Table1[[#This Row],[Details]:[Details]]=$B16)*(ROW(Table1[[Details]:[Details]])-ROW(Table1[[#Headers],[Details]])),COLUMNS($C$10:N15))),"")</f>
        <v>Kyle Green Vinyl </v>
      </c>
      <c r="O16" t="str">
        <f>IF(COLUMNS($C$10:O15)&lt;=$A16,INDEX(Table1[[PARTICULAR]:[PARTICULAR]],_xlfn.AGGREGATE(15,3,(Table1[[#This Row],[Details]:[Details]]=$B16)/(Table1[[#This Row],[Details]:[Details]]=$B16)*(ROW(Table1[[Details]:[Details]])-ROW(Table1[[#Headers],[Details]])),COLUMNS($C$10:O15))),"")</f>
        <v>LG RED VINYL</v>
      </c>
      <c r="P16" t="str">
        <f>IF(COLUMNS($C$10:P15)&lt;=$A16,INDEX(Table1[[PARTICULAR]:[PARTICULAR]],_xlfn.AGGREGATE(15,3,(Table1[[#This Row],[Details]:[Details]]=$B16)/(Table1[[#This Row],[Details]:[Details]]=$B16)*(ROW(Table1[[Details]:[Details]])-ROW(Table1[[#Headers],[Details]])),COLUMNS($C$10:P15))),"")</f>
        <v>Mehroon Vinyl</v>
      </c>
      <c r="Q16" t="str">
        <f>IF(COLUMNS($C$10:Q15)&lt;=$A16,INDEX(Table1[[PARTICULAR]:[PARTICULAR]],_xlfn.AGGREGATE(15,3,(Table1[[#This Row],[Details]:[Details]]=$B16)/(Table1[[#This Row],[Details]:[Details]]=$B16)*(ROW(Table1[[Details]:[Details]])-ROW(Table1[[#Headers],[Details]])),COLUMNS($C$10:Q15))),"")</f>
        <v>White Vinyl</v>
      </c>
      <c r="R16" t="str">
        <f>IF(COLUMNS($C$10:R15)&lt;=$A16,INDEX(Table1[[PARTICULAR]:[PARTICULAR]],_xlfn.AGGREGATE(15,3,(Table1[[#This Row],[Details]:[Details]]=$B16)/(Table1[[#This Row],[Details]:[Details]]=$B16)*(ROW(Table1[[Details]:[Details]])-ROW(Table1[[#Headers],[Details]])),COLUMNS($C$10:R15))),"")</f>
        <v/>
      </c>
      <c r="S16" t="str">
        <f>IF(COLUMNS($C$10:S15)&lt;=$A16,INDEX(Table1[[PARTICULAR]:[PARTICULAR]],_xlfn.AGGREGATE(15,3,(Table1[[#This Row],[Details]:[Details]]=$B16)/(Table1[[#This Row],[Details]:[Details]]=$B16)*(ROW(Table1[[Details]:[Details]])-ROW(Table1[[#Headers],[Details]])),COLUMNS($C$10:S15))),"")</f>
        <v/>
      </c>
      <c r="T16" t="str">
        <f>IF(COLUMNS($C$10:T15)&lt;=$A16,INDEX(Table1[[PARTICULAR]:[PARTICULAR]],_xlfn.AGGREGATE(15,3,(Table1[[#This Row],[Details]:[Details]]=$B16)/(Table1[[#This Row],[Details]:[Details]]=$B16)*(ROW(Table1[[Details]:[Details]])-ROW(Table1[[#Headers],[Details]])),COLUMNS($C$10:T15))),"")</f>
        <v/>
      </c>
      <c r="U16" t="str">
        <f>IF(COLUMNS($C$10:U15)&lt;=$A16,INDEX(Table1[[PARTICULAR]:[PARTICULAR]],_xlfn.AGGREGATE(15,3,(Table1[[#This Row],[Details]:[Details]]=$B16)/(Table1[[#This Row],[Details]:[Details]]=$B16)*(ROW(Table1[[Details]:[Details]])-ROW(Table1[[#Headers],[Details]])),COLUMNS($C$10:U15))),"")</f>
        <v/>
      </c>
      <c r="V16" t="str">
        <f>IF(COLUMNS($C$10:V15)&lt;=$A16,INDEX(Table1[[PARTICULAR]:[PARTICULAR]],_xlfn.AGGREGATE(15,3,(Table1[[#This Row],[Details]:[Details]]=$B16)/(Table1[[#This Row],[Details]:[Details]]=$B16)*(ROW(Table1[[Details]:[Details]])-ROW(Table1[[#Headers],[Details]])),COLUMNS($C$10:V15))),"")</f>
        <v/>
      </c>
      <c r="W16" t="str">
        <f>IF(COLUMNS($C$10:W15)&lt;=$A16,INDEX(Table1[[PARTICULAR]:[PARTICULAR]],_xlfn.AGGREGATE(15,3,(Table1[[#This Row],[Details]:[Details]]=$B16)/(Table1[[#This Row],[Details]:[Details]]=$B16)*(ROW(Table1[[Details]:[Details]])-ROW(Table1[[#Headers],[Details]])),COLUMNS($C$10:W15))),"")</f>
        <v/>
      </c>
      <c r="X16" t="str">
        <f>IF(COLUMNS($C$10:X15)&lt;=$A16,INDEX(Table1[[PARTICULAR]:[PARTICULAR]],_xlfn.AGGREGATE(15,3,(Table1[[#This Row],[Details]:[Details]]=$B16)/(Table1[[#This Row],[Details]:[Details]]=$B16)*(ROW(Table1[[Details]:[Details]])-ROW(Table1[[#Headers],[Details]])),COLUMNS($C$10:X15))),"")</f>
        <v/>
      </c>
      <c r="Y16" t="str">
        <f>IF(COLUMNS($C$10:Y15)&lt;=$A16,INDEX(Table1[[PARTICULAR]:[PARTICULAR]],_xlfn.AGGREGATE(15,3,(Table1[[#This Row],[Details]:[Details]]=$B16)/(Table1[[#This Row],[Details]:[Details]]=$B16)*(ROW(Table1[[Details]:[Details]])-ROW(Table1[[#Headers],[Details]])),COLUMNS($C$10:Y15))),"")</f>
        <v/>
      </c>
      <c r="Z16" t="str">
        <f>IF(COLUMNS($C$10:Z15)&lt;=$A16,INDEX(Table1[[PARTICULAR]:[PARTICULAR]],_xlfn.AGGREGATE(15,3,(Table1[[#This Row],[Details]:[Details]]=$B16)/(Table1[[#This Row],[Details]:[Details]]=$B16)*(ROW(Table1[[Details]:[Details]])-ROW(Table1[[#Headers],[Details]])),COLUMNS($C$10:Z15))),"")</f>
        <v/>
      </c>
      <c r="AA16" t="str">
        <f>IF(COLUMNS($C$10:AA15)&lt;=$A16,INDEX(Table1[[PARTICULAR]:[PARTICULAR]],_xlfn.AGGREGATE(15,3,(Table1[[#This Row],[Details]:[Details]]=$B16)/(Table1[[#This Row],[Details]:[Details]]=$B16)*(ROW(Table1[[Details]:[Details]])-ROW(Table1[[#Headers],[Details]])),COLUMNS($C$10:AA15))),"")</f>
        <v/>
      </c>
      <c r="AB16" t="str">
        <f>IF(COLUMNS($C$10:AB15)&lt;=$A16,INDEX(Table1[[PARTICULAR]:[PARTICULAR]],_xlfn.AGGREGATE(15,3,(Table1[[#This Row],[Details]:[Details]]=$B16)/(Table1[[#This Row],[Details]:[Details]]=$B16)*(ROW(Table1[[Details]:[Details]])-ROW(Table1[[#Headers],[Details]])),COLUMNS($C$10:AB15))),"")</f>
        <v/>
      </c>
      <c r="AC16" t="str">
        <f>IF(COLUMNS($C$10:AC15)&lt;=$A16,INDEX(Table1[[PARTICULAR]:[PARTICULAR]],_xlfn.AGGREGATE(15,3,(Table1[[#This Row],[Details]:[Details]]=$B16)/(Table1[[#This Row],[Details]:[Details]]=$B16)*(ROW(Table1[[Details]:[Details]])-ROW(Table1[[#Headers],[Details]])),COLUMNS($C$10:AC15))),"")</f>
        <v/>
      </c>
      <c r="AD16" t="str">
        <f>IF(COLUMNS($C$10:AD15)&lt;=$A16,INDEX(Table1[[PARTICULAR]:[PARTICULAR]],_xlfn.AGGREGATE(15,3,(Table1[[#This Row],[Details]:[Details]]=$B16)/(Table1[[#This Row],[Details]:[Details]]=$B16)*(ROW(Table1[[Details]:[Details]])-ROW(Table1[[#Headers],[Details]])),COLUMNS($C$10:AD15))),"")</f>
        <v/>
      </c>
      <c r="AE16" t="str">
        <f>IF(COLUMNS($C$10:AE15)&lt;=$A16,INDEX(Table1[[PARTICULAR]:[PARTICULAR]],_xlfn.AGGREGATE(15,3,(Table1[[#This Row],[Details]:[Details]]=$B16)/(Table1[[#This Row],[Details]:[Details]]=$B16)*(ROW(Table1[[Details]:[Details]])-ROW(Table1[[#Headers],[Details]])),COLUMNS($C$10:AE15))),"")</f>
        <v/>
      </c>
      <c r="AF16" t="str">
        <f>IF(COLUMNS($C$10:AF15)&lt;=$A16,INDEX(Table1[[PARTICULAR]:[PARTICULAR]],_xlfn.AGGREGATE(15,3,(Table1[[#This Row],[Details]:[Details]]=$B16)/(Table1[[#This Row],[Details]:[Details]]=$B16)*(ROW(Table1[[Details]:[Details]])-ROW(Table1[[#Headers],[Details]])),COLUMNS($C$10:AF15))),"")</f>
        <v/>
      </c>
      <c r="AG16" t="str">
        <f>IF(COLUMNS($C$10:AG15)&lt;=$A16,INDEX(Table1[[PARTICULAR]:[PARTICULAR]],_xlfn.AGGREGATE(15,3,(Table1[[#This Row],[Details]:[Details]]=$B16)/(Table1[[#This Row],[Details]:[Details]]=$B16)*(ROW(Table1[[Details]:[Details]])-ROW(Table1[[#Headers],[Details]])),COLUMNS($C$10:AG15))),"")</f>
        <v/>
      </c>
      <c r="AH16" t="str">
        <f>IF(COLUMNS($C$10:AH15)&lt;=$A16,INDEX(Table1[[PARTICULAR]:[PARTICULAR]],_xlfn.AGGREGATE(15,3,(Table1[[#This Row],[Details]:[Details]]=$B16)/(Table1[[#This Row],[Details]:[Details]]=$B16)*(ROW(Table1[[Details]:[Details]])-ROW(Table1[[#Headers],[Details]])),COLUMNS($C$10:AH15))),"")</f>
        <v/>
      </c>
      <c r="AI16" t="str">
        <f>IF(COLUMNS($C$10:AI15)&lt;=$A16,INDEX(Table1[[PARTICULAR]:[PARTICULAR]],_xlfn.AGGREGATE(15,3,(Table1[[#This Row],[Details]:[Details]]=$B16)/(Table1[[#This Row],[Details]:[Details]]=$B16)*(ROW(Table1[[Details]:[Details]])-ROW(Table1[[#Headers],[Details]])),COLUMNS($C$10:AI15))),"")</f>
        <v/>
      </c>
      <c r="AJ16" t="str">
        <f>IF(COLUMNS($C$10:AJ15)&lt;=$A16,INDEX(Table1[[PARTICULAR]:[PARTICULAR]],_xlfn.AGGREGATE(15,3,(Table1[[#This Row],[Details]:[Details]]=$B16)/(Table1[[#This Row],[Details]:[Details]]=$B16)*(ROW(Table1[[Details]:[Details]])-ROW(Table1[[#Headers],[Details]])),COLUMNS($C$10:AJ15))),"")</f>
        <v/>
      </c>
      <c r="AK16" t="str">
        <f>IF(COLUMNS($C$10:AK15)&lt;=$A16,INDEX(Table1[[PARTICULAR]:[PARTICULAR]],_xlfn.AGGREGATE(15,3,(Table1[[#This Row],[Details]:[Details]]=$B16)/(Table1[[#This Row],[Details]:[Details]]=$B16)*(ROW(Table1[[Details]:[Details]])-ROW(Table1[[#Headers],[Details]])),COLUMNS($C$10:AK15))),"")</f>
        <v/>
      </c>
      <c r="AL16" t="str">
        <f>IF(COLUMNS($C$10:AL15)&lt;=$A16,INDEX(Table1[[PARTICULAR]:[PARTICULAR]],_xlfn.AGGREGATE(15,3,(Table1[[#This Row],[Details]:[Details]]=$B16)/(Table1[[#This Row],[Details]:[Details]]=$B16)*(ROW(Table1[[Details]:[Details]])-ROW(Table1[[#Headers],[Details]])),COLUMNS($C$10:AL15))),"")</f>
        <v/>
      </c>
      <c r="AM16" t="str">
        <f>IF(COLUMNS($C$10:AM15)&lt;=$A16,INDEX(Table1[[PARTICULAR]:[PARTICULAR]],_xlfn.AGGREGATE(15,3,(Table1[[#This Row],[Details]:[Details]]=$B16)/(Table1[[#This Row],[Details]:[Details]]=$B16)*(ROW(Table1[[Details]:[Details]])-ROW(Table1[[#Headers],[Details]])),COLUMNS($C$10:AM15))),"")</f>
        <v/>
      </c>
      <c r="AN16" t="str">
        <f>IF(COLUMNS($C$10:AN15)&lt;=$A16,INDEX(Table1[[PARTICULAR]:[PARTICULAR]],_xlfn.AGGREGATE(15,3,(Table1[[#This Row],[Details]:[Details]]=$B16)/(Table1[[#This Row],[Details]:[Details]]=$B16)*(ROW(Table1[[Details]:[Details]])-ROW(Table1[[#Headers],[Details]])),COLUMNS($C$10:AN15))),"")</f>
        <v/>
      </c>
      <c r="AO16" t="str">
        <f>IF(COLUMNS($C$10:AO15)&lt;=$A16,INDEX(Table1[[PARTICULAR]:[PARTICULAR]],_xlfn.AGGREGATE(15,3,(Table1[[#This Row],[Details]:[Details]]=$B16)/(Table1[[#This Row],[Details]:[Details]]=$B16)*(ROW(Table1[[Details]:[Details]])-ROW(Table1[[#Headers],[Details]])),COLUMNS($C$10:AO15))),"")</f>
        <v/>
      </c>
      <c r="AP16" t="str">
        <f>IF(COLUMNS($C$10:AP15)&lt;=$A16,INDEX(Table1[[PARTICULAR]:[PARTICULAR]],_xlfn.AGGREGATE(15,3,(Table1[[#This Row],[Details]:[Details]]=$B16)/(Table1[[#This Row],[Details]:[Details]]=$B16)*(ROW(Table1[[Details]:[Details]])-ROW(Table1[[#Headers],[Details]])),COLUMNS($C$10:AP15))),"")</f>
        <v/>
      </c>
      <c r="AQ16" t="str">
        <f>IF(COLUMNS($C$10:AQ15)&lt;=$A16,INDEX(Table1[[PARTICULAR]:[PARTICULAR]],_xlfn.AGGREGATE(15,3,(Table1[[#This Row],[Details]:[Details]]=$B16)/(Table1[[#This Row],[Details]:[Details]]=$B16)*(ROW(Table1[[Details]:[Details]])-ROW(Table1[[#Headers],[Details]])),COLUMNS($C$10:AQ15))),"")</f>
        <v/>
      </c>
      <c r="AR16" t="str">
        <f>IF(COLUMNS($C$10:AR15)&lt;=$A16,INDEX(Table1[[PARTICULAR]:[PARTICULAR]],_xlfn.AGGREGATE(15,3,(Table1[[#This Row],[Details]:[Details]]=$B16)/(Table1[[#This Row],[Details]:[Details]]=$B16)*(ROW(Table1[[Details]:[Details]])-ROW(Table1[[#Headers],[Details]])),COLUMNS($C$10:AR15))),"")</f>
        <v/>
      </c>
      <c r="AS16" t="str">
        <f>IF(COLUMNS($C$10:AS15)&lt;=$A16,INDEX(Table1[[PARTICULAR]:[PARTICULAR]],_xlfn.AGGREGATE(15,3,(Table1[[#This Row],[Details]:[Details]]=$B16)/(Table1[[#This Row],[Details]:[Details]]=$B16)*(ROW(Table1[[Details]:[Details]])-ROW(Table1[[#Headers],[Details]])),COLUMNS($C$10:AS15))),"")</f>
        <v/>
      </c>
      <c r="AT16" t="str">
        <f>IF(COLUMNS($C$10:AT15)&lt;=$A16,INDEX(Table1[[PARTICULAR]:[PARTICULAR]],_xlfn.AGGREGATE(15,3,(Table1[[#This Row],[Details]:[Details]]=$B16)/(Table1[[#This Row],[Details]:[Details]]=$B16)*(ROW(Table1[[Details]:[Details]])-ROW(Table1[[#Headers],[Details]])),COLUMNS($C$10:AT15))),"")</f>
        <v/>
      </c>
      <c r="AU16" t="str">
        <f>IF(COLUMNS($C$10:AU15)&lt;=$A16,INDEX(Table1[[PARTICULAR]:[PARTICULAR]],_xlfn.AGGREGATE(15,3,(Table1[[#This Row],[Details]:[Details]]=$B16)/(Table1[[#This Row],[Details]:[Details]]=$B16)*(ROW(Table1[[Details]:[Details]])-ROW(Table1[[#Headers],[Details]])),COLUMNS($C$10:AU15))),"")</f>
        <v/>
      </c>
      <c r="AV16" t="str">
        <f>IF(COLUMNS($C$10:AV15)&lt;=$A16,INDEX(Table1[[PARTICULAR]:[PARTICULAR]],_xlfn.AGGREGATE(15,3,(Table1[[#This Row],[Details]:[Details]]=$B16)/(Table1[[#This Row],[Details]:[Details]]=$B16)*(ROW(Table1[[Details]:[Details]])-ROW(Table1[[#Headers],[Details]])),COLUMNS($C$10:AV15))),"")</f>
        <v/>
      </c>
      <c r="AW16" t="str">
        <f>IF(COLUMNS($C$10:AW15)&lt;=$A16,INDEX(Table1[[PARTICULAR]:[PARTICULAR]],_xlfn.AGGREGATE(15,3,(Table1[[#This Row],[Details]:[Details]]=$B16)/(Table1[[#This Row],[Details]:[Details]]=$B16)*(ROW(Table1[[Details]:[Details]])-ROW(Table1[[#Headers],[Details]])),COLUMNS($C$10:AW15))),"")</f>
        <v/>
      </c>
      <c r="AX16" t="str">
        <f>IF(COLUMNS($C$10:AX15)&lt;=$A16,INDEX(Table1[[PARTICULAR]:[PARTICULAR]],_xlfn.AGGREGATE(15,3,(Table1[[#This Row],[Details]:[Details]]=$B16)/(Table1[[#This Row],[Details]:[Details]]=$B16)*(ROW(Table1[[Details]:[Details]])-ROW(Table1[[#Headers],[Details]])),COLUMNS($C$10:AX15))),"")</f>
        <v/>
      </c>
      <c r="AY16" t="str">
        <f>IF(COLUMNS($C$10:AY15)&lt;=$A16,INDEX(Table1[[PARTICULAR]:[PARTICULAR]],_xlfn.AGGREGATE(15,3,(Table1[[#This Row],[Details]:[Details]]=$B16)/(Table1[[#This Row],[Details]:[Details]]=$B16)*(ROW(Table1[[Details]:[Details]])-ROW(Table1[[#Headers],[Details]])),COLUMNS($C$10:AY15))),"")</f>
        <v/>
      </c>
      <c r="AZ16" t="str">
        <f>IF(COLUMNS($C$10:AZ15)&lt;=$A16,INDEX(Table1[[PARTICULAR]:[PARTICULAR]],_xlfn.AGGREGATE(15,3,(Table1[[#This Row],[Details]:[Details]]=$B16)/(Table1[[#This Row],[Details]:[Details]]=$B16)*(ROW(Table1[[Details]:[Details]])-ROW(Table1[[#Headers],[Details]])),COLUMNS($C$10:AZ15))),"")</f>
        <v/>
      </c>
      <c r="BA16" t="str">
        <f>IF(COLUMNS($C$10:BA15)&lt;=$A16,INDEX(Table1[[PARTICULAR]:[PARTICULAR]],_xlfn.AGGREGATE(15,3,(Table1[[#This Row],[Details]:[Details]]=$B16)/(Table1[[#This Row],[Details]:[Details]]=$B16)*(ROW(Table1[[Details]:[Details]])-ROW(Table1[[#Headers],[Details]])),COLUMNS($C$10:BA15))),"")</f>
        <v/>
      </c>
      <c r="BB16" t="str">
        <f>IF(COLUMNS($C$10:BB15)&lt;=$A16,INDEX(Table1[[PARTICULAR]:[PARTICULAR]],_xlfn.AGGREGATE(15,3,(Table1[[#This Row],[Details]:[Details]]=$B16)/(Table1[[#This Row],[Details]:[Details]]=$B16)*(ROW(Table1[[Details]:[Details]])-ROW(Table1[[#Headers],[Details]])),COLUMNS($C$10:BB15))),"")</f>
        <v/>
      </c>
      <c r="BC16" t="str">
        <f>IF(COLUMNS($C$10:BC15)&lt;=$A16,INDEX(Table1[[PARTICULAR]:[PARTICULAR]],_xlfn.AGGREGATE(15,3,(Table1[[#This Row],[Details]:[Details]]=$B16)/(Table1[[#This Row],[Details]:[Details]]=$B16)*(ROW(Table1[[Details]:[Details]])-ROW(Table1[[#Headers],[Details]])),COLUMNS($C$10:BC15))),"")</f>
        <v/>
      </c>
      <c r="BD16" t="str">
        <f>IF(COLUMNS($C$10:BD15)&lt;=$A16,INDEX(Table1[[PARTICULAR]:[PARTICULAR]],_xlfn.AGGREGATE(15,3,(Table1[[#This Row],[Details]:[Details]]=$B16)/(Table1[[#This Row],[Details]:[Details]]=$B16)*(ROW(Table1[[Details]:[Details]])-ROW(Table1[[#Headers],[Details]])),COLUMNS($C$10:BD15))),"")</f>
        <v/>
      </c>
      <c r="BE16" t="str">
        <f>IF(COLUMNS($C$10:BE15)&lt;=$A16,INDEX(Table1[[PARTICULAR]:[PARTICULAR]],_xlfn.AGGREGATE(15,3,(Table1[[#This Row],[Details]:[Details]]=$B16)/(Table1[[#This Row],[Details]:[Details]]=$B16)*(ROW(Table1[[Details]:[Details]])-ROW(Table1[[#Headers],[Details]])),COLUMNS($C$10:BE15))),"")</f>
        <v/>
      </c>
      <c r="BF16" t="str">
        <f>IF(COLUMNS($C$10:BF15)&lt;=$A16,INDEX(Table1[[PARTICULAR]:[PARTICULAR]],_xlfn.AGGREGATE(15,3,(Table1[[#This Row],[Details]:[Details]]=$B16)/(Table1[[#This Row],[Details]:[Details]]=$B16)*(ROW(Table1[[Details]:[Details]])-ROW(Table1[[#Headers],[Details]])),COLUMNS($C$10:BF15))),"")</f>
        <v/>
      </c>
      <c r="BG16" t="str">
        <f>IF(COLUMNS($C$10:BG15)&lt;=$A16,INDEX(Table1[[PARTICULAR]:[PARTICULAR]],_xlfn.AGGREGATE(15,3,(Table1[[#This Row],[Details]:[Details]]=$B16)/(Table1[[#This Row],[Details]:[Details]]=$B16)*(ROW(Table1[[Details]:[Details]])-ROW(Table1[[#Headers],[Details]])),COLUMNS($C$10:BG15))),"")</f>
        <v/>
      </c>
      <c r="BH16" t="str">
        <f>IF(COLUMNS($C$10:BH15)&lt;=$A16,INDEX(Table1[[PARTICULAR]:[PARTICULAR]],_xlfn.AGGREGATE(15,3,(Table1[[#This Row],[Details]:[Details]]=$B16)/(Table1[[#This Row],[Details]:[Details]]=$B16)*(ROW(Table1[[Details]:[Details]])-ROW(Table1[[#Headers],[Details]])),COLUMNS($C$10:BH15))),"")</f>
        <v/>
      </c>
      <c r="BI16" t="str">
        <f>IF(COLUMNS($C$10:BI15)&lt;=$A16,INDEX(Table1[[PARTICULAR]:[PARTICULAR]],_xlfn.AGGREGATE(15,3,(Table1[[#This Row],[Details]:[Details]]=$B16)/(Table1[[#This Row],[Details]:[Details]]=$B16)*(ROW(Table1[[Details]:[Details]])-ROW(Table1[[#Headers],[Details]])),COLUMNS($C$10:BI15))),"")</f>
        <v/>
      </c>
      <c r="BJ16" t="str">
        <f>IF(COLUMNS($C$10:BJ15)&lt;=$A16,INDEX(Table1[[PARTICULAR]:[PARTICULAR]],_xlfn.AGGREGATE(15,3,(Table1[[#This Row],[Details]:[Details]]=$B16)/(Table1[[#This Row],[Details]:[Details]]=$B16)*(ROW(Table1[[Details]:[Details]])-ROW(Table1[[#Headers],[Details]])),COLUMNS($C$10:BJ15))),"")</f>
        <v/>
      </c>
      <c r="BK16" t="str">
        <f>IF(COLUMNS($C$10:BK15)&lt;=$A16,INDEX(Table1[[PARTICULAR]:[PARTICULAR]],_xlfn.AGGREGATE(15,3,(Table1[[#This Row],[Details]:[Details]]=$B16)/(Table1[[#This Row],[Details]:[Details]]=$B16)*(ROW(Table1[[Details]:[Details]])-ROW(Table1[[#Headers],[Details]])),COLUMNS($C$10:BK15))),"")</f>
        <v/>
      </c>
      <c r="BL16" t="str">
        <f>IF(COLUMNS($C$10:BL15)&lt;=$A16,INDEX(Table1[[PARTICULAR]:[PARTICULAR]],_xlfn.AGGREGATE(15,3,(Table1[[#This Row],[Details]:[Details]]=$B16)/(Table1[[#This Row],[Details]:[Details]]=$B16)*(ROW(Table1[[Details]:[Details]])-ROW(Table1[[#Headers],[Details]])),COLUMNS($C$10:BL15))),"")</f>
        <v/>
      </c>
      <c r="BM16" t="str">
        <f>IF(COLUMNS($C$10:BM15)&lt;=$A16,INDEX(Table1[[PARTICULAR]:[PARTICULAR]],_xlfn.AGGREGATE(15,3,(Table1[[#This Row],[Details]:[Details]]=$B16)/(Table1[[#This Row],[Details]:[Details]]=$B16)*(ROW(Table1[[Details]:[Details]])-ROW(Table1[[#Headers],[Details]])),COLUMNS($C$10:BM15))),"")</f>
        <v/>
      </c>
      <c r="BN16" t="str">
        <f>IF(COLUMNS($C$10:BN15)&lt;=$A16,INDEX(Table1[[PARTICULAR]:[PARTICULAR]],_xlfn.AGGREGATE(15,3,(Table1[[#This Row],[Details]:[Details]]=$B16)/(Table1[[#This Row],[Details]:[Details]]=$B16)*(ROW(Table1[[Details]:[Details]])-ROW(Table1[[#Headers],[Details]])),COLUMNS($C$10:BN15))),"")</f>
        <v/>
      </c>
      <c r="BO16" t="str">
        <f>IF(COLUMNS($C$10:BO15)&lt;=$A16,INDEX(Table1[[PARTICULAR]:[PARTICULAR]],_xlfn.AGGREGATE(15,3,(Table1[[#This Row],[Details]:[Details]]=$B16)/(Table1[[#This Row],[Details]:[Details]]=$B16)*(ROW(Table1[[Details]:[Details]])-ROW(Table1[[#Headers],[Details]])),COLUMNS($C$10:BO15))),"")</f>
        <v/>
      </c>
      <c r="BP16" t="str">
        <f>IF(COLUMNS($C$10:BP15)&lt;=$A16,INDEX(Table1[[PARTICULAR]:[PARTICULAR]],_xlfn.AGGREGATE(15,3,(Table1[[#This Row],[Details]:[Details]]=$B16)/(Table1[[#This Row],[Details]:[Details]]=$B16)*(ROW(Table1[[Details]:[Details]])-ROW(Table1[[#Headers],[Details]])),COLUMNS($C$10:BP15))),"")</f>
        <v/>
      </c>
      <c r="BQ16" t="str">
        <f>IF(COLUMNS($C$10:BQ15)&lt;=$A16,INDEX(Table1[[PARTICULAR]:[PARTICULAR]],_xlfn.AGGREGATE(15,3,(Table1[[#This Row],[Details]:[Details]]=$B16)/(Table1[[#This Row],[Details]:[Details]]=$B16)*(ROW(Table1[[Details]:[Details]])-ROW(Table1[[#Headers],[Details]])),COLUMNS($C$10:BQ15))),"")</f>
        <v/>
      </c>
      <c r="BR16" t="str">
        <f>IF(COLUMNS($C$10:BR15)&lt;=$A16,INDEX(Table1[[PARTICULAR]:[PARTICULAR]],_xlfn.AGGREGATE(15,3,(Table1[[#This Row],[Details]:[Details]]=$B16)/(Table1[[#This Row],[Details]:[Details]]=$B16)*(ROW(Table1[[Details]:[Details]])-ROW(Table1[[#Headers],[Details]])),COLUMNS($C$10:BR15))),"")</f>
        <v/>
      </c>
      <c r="BS16" t="str">
        <f>IF(COLUMNS($C$10:BS15)&lt;=$A16,INDEX(Table1[[PARTICULAR]:[PARTICULAR]],_xlfn.AGGREGATE(15,3,(Table1[[#This Row],[Details]:[Details]]=$B16)/(Table1[[#This Row],[Details]:[Details]]=$B16)*(ROW(Table1[[Details]:[Details]])-ROW(Table1[[#Headers],[Details]])),COLUMNS($C$10:BS15))),"")</f>
        <v/>
      </c>
      <c r="BT16" t="str">
        <f>IF(COLUMNS($C$10:BT15)&lt;=$A16,INDEX(Table1[[PARTICULAR]:[PARTICULAR]],_xlfn.AGGREGATE(15,3,(Table1[[#This Row],[Details]:[Details]]=$B16)/(Table1[[#This Row],[Details]:[Details]]=$B16)*(ROW(Table1[[Details]:[Details]])-ROW(Table1[[#Headers],[Details]])),COLUMNS($C$10:BT15))),"")</f>
        <v/>
      </c>
      <c r="BU16" t="str">
        <f>IF(COLUMNS($C$10:BU15)&lt;=$A16,INDEX(Table1[[PARTICULAR]:[PARTICULAR]],_xlfn.AGGREGATE(15,3,(Table1[[#This Row],[Details]:[Details]]=$B16)/(Table1[[#This Row],[Details]:[Details]]=$B16)*(ROW(Table1[[Details]:[Details]])-ROW(Table1[[#Headers],[Details]])),COLUMNS($C$10:BU15))),"")</f>
        <v/>
      </c>
      <c r="BV16" t="str">
        <f>IF(COLUMNS($C$10:BV15)&lt;=$A16,INDEX(Table1[[PARTICULAR]:[PARTICULAR]],_xlfn.AGGREGATE(15,3,(Table1[[#This Row],[Details]:[Details]]=$B16)/(Table1[[#This Row],[Details]:[Details]]=$B16)*(ROW(Table1[[Details]:[Details]])-ROW(Table1[[#Headers],[Details]])),COLUMNS($C$10:BV15))),"")</f>
        <v/>
      </c>
      <c r="BW16" t="str">
        <f>IF(COLUMNS($C$10:BW15)&lt;=$A16,INDEX(Table1[[PARTICULAR]:[PARTICULAR]],_xlfn.AGGREGATE(15,3,(Table1[[#This Row],[Details]:[Details]]=$B16)/(Table1[[#This Row],[Details]:[Details]]=$B16)*(ROW(Table1[[Details]:[Details]])-ROW(Table1[[#Headers],[Details]])),COLUMNS($C$10:BW15))),"")</f>
        <v/>
      </c>
      <c r="BX16" t="str">
        <f>IF(COLUMNS($C$10:BX15)&lt;=$A16,INDEX(Table1[[PARTICULAR]:[PARTICULAR]],_xlfn.AGGREGATE(15,3,(Table1[[#This Row],[Details]:[Details]]=$B16)/(Table1[[#This Row],[Details]:[Details]]=$B16)*(ROW(Table1[[Details]:[Details]])-ROW(Table1[[#Headers],[Details]])),COLUMNS($C$10:BX15))),"")</f>
        <v/>
      </c>
      <c r="BY16" t="str">
        <f>IF(COLUMNS($C$10:BY15)&lt;=$A16,INDEX(Table1[[PARTICULAR]:[PARTICULAR]],_xlfn.AGGREGATE(15,3,(Table1[[#This Row],[Details]:[Details]]=$B16)/(Table1[[#This Row],[Details]:[Details]]=$B16)*(ROW(Table1[[Details]:[Details]])-ROW(Table1[[#Headers],[Details]])),COLUMNS($C$10:BY15))),"")</f>
        <v/>
      </c>
      <c r="BZ16" t="str">
        <f>IF(COLUMNS($C$10:BZ15)&lt;=$A16,INDEX(Table1[[PARTICULAR]:[PARTICULAR]],_xlfn.AGGREGATE(15,3,(Table1[[#This Row],[Details]:[Details]]=$B16)/(Table1[[#This Row],[Details]:[Details]]=$B16)*(ROW(Table1[[Details]:[Details]])-ROW(Table1[[#Headers],[Details]])),COLUMNS($C$10:BZ15))),"")</f>
        <v/>
      </c>
      <c r="CA16" t="str">
        <f>IF(COLUMNS($C$10:CA15)&lt;=$A16,INDEX(Table1[[PARTICULAR]:[PARTICULAR]],_xlfn.AGGREGATE(15,3,(Table1[[#This Row],[Details]:[Details]]=$B16)/(Table1[[#This Row],[Details]:[Details]]=$B16)*(ROW(Table1[[Details]:[Details]])-ROW(Table1[[#Headers],[Details]])),COLUMNS($C$10:CA15))),"")</f>
        <v/>
      </c>
      <c r="CB16" t="str">
        <f>IF(COLUMNS($C$10:CB15)&lt;=$A16,INDEX(Table1[[PARTICULAR]:[PARTICULAR]],_xlfn.AGGREGATE(15,3,(Table1[[#This Row],[Details]:[Details]]=$B16)/(Table1[[#This Row],[Details]:[Details]]=$B16)*(ROW(Table1[[Details]:[Details]])-ROW(Table1[[#Headers],[Details]])),COLUMNS($C$10:CB15))),"")</f>
        <v/>
      </c>
    </row>
    <row r="17" spans="1:80">
      <c r="A17">
        <f>COUNTIF(Table1[Details],B17)</f>
        <v>3</v>
      </c>
      <c r="B17" s="97" t="str">
        <f>IFERROR(INDEX(Table1[Details],MATCH(0,INDEX(COUNTIF($B$10:B16,Table1[Details]),),0)),"")</f>
        <v>Fabric</v>
      </c>
      <c r="C17" t="str">
        <f>IF(COLUMNS($C$10:C16)&lt;=$A17,INDEX(Table1[[PARTICULAR]:[PARTICULAR]],_xlfn.AGGREGATE(15,3,(Table1[[#This Row],[Details]:[Details]]=$B17)/(Table1[[#This Row],[Details]:[Details]]=$B17)*(ROW(Table1[[Details]:[Details]])-ROW(Table1[[#Headers],[Details]])),COLUMNS($C$10:C16))),"")</f>
        <v>FABRIC PRINT WITH SILICON TAPE &amp; STITCHI</v>
      </c>
      <c r="D17" t="str">
        <f>IF(COLUMNS($C$10:D16)&lt;=$A17,INDEX(Table1[[PARTICULAR]:[PARTICULAR]],_xlfn.AGGREGATE(15,3,(Table1[[#This Row],[Details]:[Details]]=$B17)/(Table1[[#This Row],[Details]:[Details]]=$B17)*(ROW(Table1[[Details]:[Details]])-ROW(Table1[[#Headers],[Details]])),COLUMNS($C$10:D16))),"")</f>
        <v>Organza Fabric white Color</v>
      </c>
      <c r="E17" t="str">
        <f>IF(COLUMNS($C$10:E16)&lt;=$A17,INDEX(Table1[[PARTICULAR]:[PARTICULAR]],_xlfn.AGGREGATE(15,3,(Table1[[#This Row],[Details]:[Details]]=$B17)/(Table1[[#This Row],[Details]:[Details]]=$B17)*(ROW(Table1[[Details]:[Details]])-ROW(Table1[[#Headers],[Details]])),COLUMNS($C$10:E16))),"")</f>
        <v>UV PRINTED POLYESTER BACKLIT FABRIC</v>
      </c>
      <c r="F17" t="str">
        <f>IF(COLUMNS($C$10:F16)&lt;=$A17,INDEX(Table1[[PARTICULAR]:[PARTICULAR]],_xlfn.AGGREGATE(15,3,(Table1[[#This Row],[Details]:[Details]]=$B17)/(Table1[[#This Row],[Details]:[Details]]=$B17)*(ROW(Table1[[Details]:[Details]])-ROW(Table1[[#Headers],[Details]])),COLUMNS($C$10:F16))),"")</f>
        <v/>
      </c>
      <c r="G17" t="str">
        <f>IF(COLUMNS($C$10:G16)&lt;=$A17,INDEX(Table1[[PARTICULAR]:[PARTICULAR]],_xlfn.AGGREGATE(15,3,(Table1[[#This Row],[Details]:[Details]]=$B17)/(Table1[[#This Row],[Details]:[Details]]=$B17)*(ROW(Table1[[Details]:[Details]])-ROW(Table1[[#Headers],[Details]])),COLUMNS($C$10:G16))),"")</f>
        <v/>
      </c>
      <c r="H17" t="str">
        <f>IF(COLUMNS($C$10:H16)&lt;=$A17,INDEX(Table1[[PARTICULAR]:[PARTICULAR]],_xlfn.AGGREGATE(15,3,(Table1[[#This Row],[Details]:[Details]]=$B17)/(Table1[[#This Row],[Details]:[Details]]=$B17)*(ROW(Table1[[Details]:[Details]])-ROW(Table1[[#Headers],[Details]])),COLUMNS($C$10:H16))),"")</f>
        <v/>
      </c>
      <c r="I17" t="str">
        <f>IF(COLUMNS($C$10:I16)&lt;=$A17,INDEX(Table1[[PARTICULAR]:[PARTICULAR]],_xlfn.AGGREGATE(15,3,(Table1[[#This Row],[Details]:[Details]]=$B17)/(Table1[[#This Row],[Details]:[Details]]=$B17)*(ROW(Table1[[Details]:[Details]])-ROW(Table1[[#Headers],[Details]])),COLUMNS($C$10:I16))),"")</f>
        <v/>
      </c>
      <c r="J17" t="str">
        <f>IF(COLUMNS($C$10:J16)&lt;=$A17,INDEX(Table1[[PARTICULAR]:[PARTICULAR]],_xlfn.AGGREGATE(15,3,(Table1[[#This Row],[Details]:[Details]]=$B17)/(Table1[[#This Row],[Details]:[Details]]=$B17)*(ROW(Table1[[Details]:[Details]])-ROW(Table1[[#Headers],[Details]])),COLUMNS($C$10:J16))),"")</f>
        <v/>
      </c>
      <c r="K17" t="str">
        <f>IF(COLUMNS($C$10:K16)&lt;=$A17,INDEX(Table1[[PARTICULAR]:[PARTICULAR]],_xlfn.AGGREGATE(15,3,(Table1[[#This Row],[Details]:[Details]]=$B17)/(Table1[[#This Row],[Details]:[Details]]=$B17)*(ROW(Table1[[Details]:[Details]])-ROW(Table1[[#Headers],[Details]])),COLUMNS($C$10:K16))),"")</f>
        <v/>
      </c>
      <c r="L17" t="str">
        <f>IF(COLUMNS($C$10:L16)&lt;=$A17,INDEX(Table1[[PARTICULAR]:[PARTICULAR]],_xlfn.AGGREGATE(15,3,(Table1[[#This Row],[Details]:[Details]]=$B17)/(Table1[[#This Row],[Details]:[Details]]=$B17)*(ROW(Table1[[Details]:[Details]])-ROW(Table1[[#Headers],[Details]])),COLUMNS($C$10:L16))),"")</f>
        <v/>
      </c>
      <c r="M17" t="str">
        <f>IF(COLUMNS($C$10:M16)&lt;=$A17,INDEX(Table1[[PARTICULAR]:[PARTICULAR]],_xlfn.AGGREGATE(15,3,(Table1[[#This Row],[Details]:[Details]]=$B17)/(Table1[[#This Row],[Details]:[Details]]=$B17)*(ROW(Table1[[Details]:[Details]])-ROW(Table1[[#Headers],[Details]])),COLUMNS($C$10:M16))),"")</f>
        <v/>
      </c>
      <c r="N17" t="str">
        <f>IF(COLUMNS($C$10:N16)&lt;=$A17,INDEX(Table1[[PARTICULAR]:[PARTICULAR]],_xlfn.AGGREGATE(15,3,(Table1[[#This Row],[Details]:[Details]]=$B17)/(Table1[[#This Row],[Details]:[Details]]=$B17)*(ROW(Table1[[Details]:[Details]])-ROW(Table1[[#Headers],[Details]])),COLUMNS($C$10:N16))),"")</f>
        <v/>
      </c>
      <c r="O17" t="str">
        <f>IF(COLUMNS($C$10:O16)&lt;=$A17,INDEX(Table1[[PARTICULAR]:[PARTICULAR]],_xlfn.AGGREGATE(15,3,(Table1[[#This Row],[Details]:[Details]]=$B17)/(Table1[[#This Row],[Details]:[Details]]=$B17)*(ROW(Table1[[Details]:[Details]])-ROW(Table1[[#Headers],[Details]])),COLUMNS($C$10:O16))),"")</f>
        <v/>
      </c>
      <c r="P17" t="str">
        <f>IF(COLUMNS($C$10:P16)&lt;=$A17,INDEX(Table1[[PARTICULAR]:[PARTICULAR]],_xlfn.AGGREGATE(15,3,(Table1[[#This Row],[Details]:[Details]]=$B17)/(Table1[[#This Row],[Details]:[Details]]=$B17)*(ROW(Table1[[Details]:[Details]])-ROW(Table1[[#Headers],[Details]])),COLUMNS($C$10:P16))),"")</f>
        <v/>
      </c>
      <c r="Q17" t="str">
        <f>IF(COLUMNS($C$10:Q16)&lt;=$A17,INDEX(Table1[[PARTICULAR]:[PARTICULAR]],_xlfn.AGGREGATE(15,3,(Table1[[#This Row],[Details]:[Details]]=$B17)/(Table1[[#This Row],[Details]:[Details]]=$B17)*(ROW(Table1[[Details]:[Details]])-ROW(Table1[[#Headers],[Details]])),COLUMNS($C$10:Q16))),"")</f>
        <v/>
      </c>
      <c r="R17" t="str">
        <f>IF(COLUMNS($C$10:R16)&lt;=$A17,INDEX(Table1[[PARTICULAR]:[PARTICULAR]],_xlfn.AGGREGATE(15,3,(Table1[[#This Row],[Details]:[Details]]=$B17)/(Table1[[#This Row],[Details]:[Details]]=$B17)*(ROW(Table1[[Details]:[Details]])-ROW(Table1[[#Headers],[Details]])),COLUMNS($C$10:R16))),"")</f>
        <v/>
      </c>
      <c r="S17" t="str">
        <f>IF(COLUMNS($C$10:S16)&lt;=$A17,INDEX(Table1[[PARTICULAR]:[PARTICULAR]],_xlfn.AGGREGATE(15,3,(Table1[[#This Row],[Details]:[Details]]=$B17)/(Table1[[#This Row],[Details]:[Details]]=$B17)*(ROW(Table1[[Details]:[Details]])-ROW(Table1[[#Headers],[Details]])),COLUMNS($C$10:S16))),"")</f>
        <v/>
      </c>
      <c r="T17" t="str">
        <f>IF(COLUMNS($C$10:T16)&lt;=$A17,INDEX(Table1[[PARTICULAR]:[PARTICULAR]],_xlfn.AGGREGATE(15,3,(Table1[[#This Row],[Details]:[Details]]=$B17)/(Table1[[#This Row],[Details]:[Details]]=$B17)*(ROW(Table1[[Details]:[Details]])-ROW(Table1[[#Headers],[Details]])),COLUMNS($C$10:T16))),"")</f>
        <v/>
      </c>
      <c r="U17" t="str">
        <f>IF(COLUMNS($C$10:U16)&lt;=$A17,INDEX(Table1[[PARTICULAR]:[PARTICULAR]],_xlfn.AGGREGATE(15,3,(Table1[[#This Row],[Details]:[Details]]=$B17)/(Table1[[#This Row],[Details]:[Details]]=$B17)*(ROW(Table1[[Details]:[Details]])-ROW(Table1[[#Headers],[Details]])),COLUMNS($C$10:U16))),"")</f>
        <v/>
      </c>
      <c r="V17" t="str">
        <f>IF(COLUMNS($C$10:V16)&lt;=$A17,INDEX(Table1[[PARTICULAR]:[PARTICULAR]],_xlfn.AGGREGATE(15,3,(Table1[[#This Row],[Details]:[Details]]=$B17)/(Table1[[#This Row],[Details]:[Details]]=$B17)*(ROW(Table1[[Details]:[Details]])-ROW(Table1[[#Headers],[Details]])),COLUMNS($C$10:V16))),"")</f>
        <v/>
      </c>
      <c r="W17" t="str">
        <f>IF(COLUMNS($C$10:W16)&lt;=$A17,INDEX(Table1[[PARTICULAR]:[PARTICULAR]],_xlfn.AGGREGATE(15,3,(Table1[[#This Row],[Details]:[Details]]=$B17)/(Table1[[#This Row],[Details]:[Details]]=$B17)*(ROW(Table1[[Details]:[Details]])-ROW(Table1[[#Headers],[Details]])),COLUMNS($C$10:W16))),"")</f>
        <v/>
      </c>
      <c r="X17" t="str">
        <f>IF(COLUMNS($C$10:X16)&lt;=$A17,INDEX(Table1[[PARTICULAR]:[PARTICULAR]],_xlfn.AGGREGATE(15,3,(Table1[[#This Row],[Details]:[Details]]=$B17)/(Table1[[#This Row],[Details]:[Details]]=$B17)*(ROW(Table1[[Details]:[Details]])-ROW(Table1[[#Headers],[Details]])),COLUMNS($C$10:X16))),"")</f>
        <v/>
      </c>
      <c r="Y17" t="str">
        <f>IF(COLUMNS($C$10:Y16)&lt;=$A17,INDEX(Table1[[PARTICULAR]:[PARTICULAR]],_xlfn.AGGREGATE(15,3,(Table1[[#This Row],[Details]:[Details]]=$B17)/(Table1[[#This Row],[Details]:[Details]]=$B17)*(ROW(Table1[[Details]:[Details]])-ROW(Table1[[#Headers],[Details]])),COLUMNS($C$10:Y16))),"")</f>
        <v/>
      </c>
      <c r="Z17" t="str">
        <f>IF(COLUMNS($C$10:Z16)&lt;=$A17,INDEX(Table1[[PARTICULAR]:[PARTICULAR]],_xlfn.AGGREGATE(15,3,(Table1[[#This Row],[Details]:[Details]]=$B17)/(Table1[[#This Row],[Details]:[Details]]=$B17)*(ROW(Table1[[Details]:[Details]])-ROW(Table1[[#Headers],[Details]])),COLUMNS($C$10:Z16))),"")</f>
        <v/>
      </c>
      <c r="AA17" t="str">
        <f>IF(COLUMNS($C$10:AA16)&lt;=$A17,INDEX(Table1[[PARTICULAR]:[PARTICULAR]],_xlfn.AGGREGATE(15,3,(Table1[[#This Row],[Details]:[Details]]=$B17)/(Table1[[#This Row],[Details]:[Details]]=$B17)*(ROW(Table1[[Details]:[Details]])-ROW(Table1[[#Headers],[Details]])),COLUMNS($C$10:AA16))),"")</f>
        <v/>
      </c>
      <c r="AB17" t="str">
        <f>IF(COLUMNS($C$10:AB16)&lt;=$A17,INDEX(Table1[[PARTICULAR]:[PARTICULAR]],_xlfn.AGGREGATE(15,3,(Table1[[#This Row],[Details]:[Details]]=$B17)/(Table1[[#This Row],[Details]:[Details]]=$B17)*(ROW(Table1[[Details]:[Details]])-ROW(Table1[[#Headers],[Details]])),COLUMNS($C$10:AB16))),"")</f>
        <v/>
      </c>
      <c r="AC17" t="str">
        <f>IF(COLUMNS($C$10:AC16)&lt;=$A17,INDEX(Table1[[PARTICULAR]:[PARTICULAR]],_xlfn.AGGREGATE(15,3,(Table1[[#This Row],[Details]:[Details]]=$B17)/(Table1[[#This Row],[Details]:[Details]]=$B17)*(ROW(Table1[[Details]:[Details]])-ROW(Table1[[#Headers],[Details]])),COLUMNS($C$10:AC16))),"")</f>
        <v/>
      </c>
      <c r="AD17" t="str">
        <f>IF(COLUMNS($C$10:AD16)&lt;=$A17,INDEX(Table1[[PARTICULAR]:[PARTICULAR]],_xlfn.AGGREGATE(15,3,(Table1[[#This Row],[Details]:[Details]]=$B17)/(Table1[[#This Row],[Details]:[Details]]=$B17)*(ROW(Table1[[Details]:[Details]])-ROW(Table1[[#Headers],[Details]])),COLUMNS($C$10:AD16))),"")</f>
        <v/>
      </c>
      <c r="AE17" t="str">
        <f>IF(COLUMNS($C$10:AE16)&lt;=$A17,INDEX(Table1[[PARTICULAR]:[PARTICULAR]],_xlfn.AGGREGATE(15,3,(Table1[[#This Row],[Details]:[Details]]=$B17)/(Table1[[#This Row],[Details]:[Details]]=$B17)*(ROW(Table1[[Details]:[Details]])-ROW(Table1[[#Headers],[Details]])),COLUMNS($C$10:AE16))),"")</f>
        <v/>
      </c>
      <c r="AF17" t="str">
        <f>IF(COLUMNS($C$10:AF16)&lt;=$A17,INDEX(Table1[[PARTICULAR]:[PARTICULAR]],_xlfn.AGGREGATE(15,3,(Table1[[#This Row],[Details]:[Details]]=$B17)/(Table1[[#This Row],[Details]:[Details]]=$B17)*(ROW(Table1[[Details]:[Details]])-ROW(Table1[[#Headers],[Details]])),COLUMNS($C$10:AF16))),"")</f>
        <v/>
      </c>
      <c r="AG17" t="str">
        <f>IF(COLUMNS($C$10:AG16)&lt;=$A17,INDEX(Table1[[PARTICULAR]:[PARTICULAR]],_xlfn.AGGREGATE(15,3,(Table1[[#This Row],[Details]:[Details]]=$B17)/(Table1[[#This Row],[Details]:[Details]]=$B17)*(ROW(Table1[[Details]:[Details]])-ROW(Table1[[#Headers],[Details]])),COLUMNS($C$10:AG16))),"")</f>
        <v/>
      </c>
      <c r="AH17" t="str">
        <f>IF(COLUMNS($C$10:AH16)&lt;=$A17,INDEX(Table1[[PARTICULAR]:[PARTICULAR]],_xlfn.AGGREGATE(15,3,(Table1[[#This Row],[Details]:[Details]]=$B17)/(Table1[[#This Row],[Details]:[Details]]=$B17)*(ROW(Table1[[Details]:[Details]])-ROW(Table1[[#Headers],[Details]])),COLUMNS($C$10:AH16))),"")</f>
        <v/>
      </c>
      <c r="AI17" t="str">
        <f>IF(COLUMNS($C$10:AI16)&lt;=$A17,INDEX(Table1[[PARTICULAR]:[PARTICULAR]],_xlfn.AGGREGATE(15,3,(Table1[[#This Row],[Details]:[Details]]=$B17)/(Table1[[#This Row],[Details]:[Details]]=$B17)*(ROW(Table1[[Details]:[Details]])-ROW(Table1[[#Headers],[Details]])),COLUMNS($C$10:AI16))),"")</f>
        <v/>
      </c>
      <c r="AJ17" t="str">
        <f>IF(COLUMNS($C$10:AJ16)&lt;=$A17,INDEX(Table1[[PARTICULAR]:[PARTICULAR]],_xlfn.AGGREGATE(15,3,(Table1[[#This Row],[Details]:[Details]]=$B17)/(Table1[[#This Row],[Details]:[Details]]=$B17)*(ROW(Table1[[Details]:[Details]])-ROW(Table1[[#Headers],[Details]])),COLUMNS($C$10:AJ16))),"")</f>
        <v/>
      </c>
      <c r="AK17" t="str">
        <f>IF(COLUMNS($C$10:AK16)&lt;=$A17,INDEX(Table1[[PARTICULAR]:[PARTICULAR]],_xlfn.AGGREGATE(15,3,(Table1[[#This Row],[Details]:[Details]]=$B17)/(Table1[[#This Row],[Details]:[Details]]=$B17)*(ROW(Table1[[Details]:[Details]])-ROW(Table1[[#Headers],[Details]])),COLUMNS($C$10:AK16))),"")</f>
        <v/>
      </c>
      <c r="AL17" t="str">
        <f>IF(COLUMNS($C$10:AL16)&lt;=$A17,INDEX(Table1[[PARTICULAR]:[PARTICULAR]],_xlfn.AGGREGATE(15,3,(Table1[[#This Row],[Details]:[Details]]=$B17)/(Table1[[#This Row],[Details]:[Details]]=$B17)*(ROW(Table1[[Details]:[Details]])-ROW(Table1[[#Headers],[Details]])),COLUMNS($C$10:AL16))),"")</f>
        <v/>
      </c>
      <c r="AM17" t="str">
        <f>IF(COLUMNS($C$10:AM16)&lt;=$A17,INDEX(Table1[[PARTICULAR]:[PARTICULAR]],_xlfn.AGGREGATE(15,3,(Table1[[#This Row],[Details]:[Details]]=$B17)/(Table1[[#This Row],[Details]:[Details]]=$B17)*(ROW(Table1[[Details]:[Details]])-ROW(Table1[[#Headers],[Details]])),COLUMNS($C$10:AM16))),"")</f>
        <v/>
      </c>
      <c r="AN17" t="str">
        <f>IF(COLUMNS($C$10:AN16)&lt;=$A17,INDEX(Table1[[PARTICULAR]:[PARTICULAR]],_xlfn.AGGREGATE(15,3,(Table1[[#This Row],[Details]:[Details]]=$B17)/(Table1[[#This Row],[Details]:[Details]]=$B17)*(ROW(Table1[[Details]:[Details]])-ROW(Table1[[#Headers],[Details]])),COLUMNS($C$10:AN16))),"")</f>
        <v/>
      </c>
      <c r="AO17" t="str">
        <f>IF(COLUMNS($C$10:AO16)&lt;=$A17,INDEX(Table1[[PARTICULAR]:[PARTICULAR]],_xlfn.AGGREGATE(15,3,(Table1[[#This Row],[Details]:[Details]]=$B17)/(Table1[[#This Row],[Details]:[Details]]=$B17)*(ROW(Table1[[Details]:[Details]])-ROW(Table1[[#Headers],[Details]])),COLUMNS($C$10:AO16))),"")</f>
        <v/>
      </c>
      <c r="AP17" t="str">
        <f>IF(COLUMNS($C$10:AP16)&lt;=$A17,INDEX(Table1[[PARTICULAR]:[PARTICULAR]],_xlfn.AGGREGATE(15,3,(Table1[[#This Row],[Details]:[Details]]=$B17)/(Table1[[#This Row],[Details]:[Details]]=$B17)*(ROW(Table1[[Details]:[Details]])-ROW(Table1[[#Headers],[Details]])),COLUMNS($C$10:AP16))),"")</f>
        <v/>
      </c>
      <c r="AQ17" t="str">
        <f>IF(COLUMNS($C$10:AQ16)&lt;=$A17,INDEX(Table1[[PARTICULAR]:[PARTICULAR]],_xlfn.AGGREGATE(15,3,(Table1[[#This Row],[Details]:[Details]]=$B17)/(Table1[[#This Row],[Details]:[Details]]=$B17)*(ROW(Table1[[Details]:[Details]])-ROW(Table1[[#Headers],[Details]])),COLUMNS($C$10:AQ16))),"")</f>
        <v/>
      </c>
      <c r="AR17" t="str">
        <f>IF(COLUMNS($C$10:AR16)&lt;=$A17,INDEX(Table1[[PARTICULAR]:[PARTICULAR]],_xlfn.AGGREGATE(15,3,(Table1[[#This Row],[Details]:[Details]]=$B17)/(Table1[[#This Row],[Details]:[Details]]=$B17)*(ROW(Table1[[Details]:[Details]])-ROW(Table1[[#Headers],[Details]])),COLUMNS($C$10:AR16))),"")</f>
        <v/>
      </c>
      <c r="AS17" t="str">
        <f>IF(COLUMNS($C$10:AS16)&lt;=$A17,INDEX(Table1[[PARTICULAR]:[PARTICULAR]],_xlfn.AGGREGATE(15,3,(Table1[[#This Row],[Details]:[Details]]=$B17)/(Table1[[#This Row],[Details]:[Details]]=$B17)*(ROW(Table1[[Details]:[Details]])-ROW(Table1[[#Headers],[Details]])),COLUMNS($C$10:AS16))),"")</f>
        <v/>
      </c>
      <c r="AT17" t="str">
        <f>IF(COLUMNS($C$10:AT16)&lt;=$A17,INDEX(Table1[[PARTICULAR]:[PARTICULAR]],_xlfn.AGGREGATE(15,3,(Table1[[#This Row],[Details]:[Details]]=$B17)/(Table1[[#This Row],[Details]:[Details]]=$B17)*(ROW(Table1[[Details]:[Details]])-ROW(Table1[[#Headers],[Details]])),COLUMNS($C$10:AT16))),"")</f>
        <v/>
      </c>
      <c r="AU17" t="str">
        <f>IF(COLUMNS($C$10:AU16)&lt;=$A17,INDEX(Table1[[PARTICULAR]:[PARTICULAR]],_xlfn.AGGREGATE(15,3,(Table1[[#This Row],[Details]:[Details]]=$B17)/(Table1[[#This Row],[Details]:[Details]]=$B17)*(ROW(Table1[[Details]:[Details]])-ROW(Table1[[#Headers],[Details]])),COLUMNS($C$10:AU16))),"")</f>
        <v/>
      </c>
      <c r="AV17" t="str">
        <f>IF(COLUMNS($C$10:AV16)&lt;=$A17,INDEX(Table1[[PARTICULAR]:[PARTICULAR]],_xlfn.AGGREGATE(15,3,(Table1[[#This Row],[Details]:[Details]]=$B17)/(Table1[[#This Row],[Details]:[Details]]=$B17)*(ROW(Table1[[Details]:[Details]])-ROW(Table1[[#Headers],[Details]])),COLUMNS($C$10:AV16))),"")</f>
        <v/>
      </c>
      <c r="AW17" t="str">
        <f>IF(COLUMNS($C$10:AW16)&lt;=$A17,INDEX(Table1[[PARTICULAR]:[PARTICULAR]],_xlfn.AGGREGATE(15,3,(Table1[[#This Row],[Details]:[Details]]=$B17)/(Table1[[#This Row],[Details]:[Details]]=$B17)*(ROW(Table1[[Details]:[Details]])-ROW(Table1[[#Headers],[Details]])),COLUMNS($C$10:AW16))),"")</f>
        <v/>
      </c>
      <c r="AX17" t="str">
        <f>IF(COLUMNS($C$10:AX16)&lt;=$A17,INDEX(Table1[[PARTICULAR]:[PARTICULAR]],_xlfn.AGGREGATE(15,3,(Table1[[#This Row],[Details]:[Details]]=$B17)/(Table1[[#This Row],[Details]:[Details]]=$B17)*(ROW(Table1[[Details]:[Details]])-ROW(Table1[[#Headers],[Details]])),COLUMNS($C$10:AX16))),"")</f>
        <v/>
      </c>
      <c r="AY17" t="str">
        <f>IF(COLUMNS($C$10:AY16)&lt;=$A17,INDEX(Table1[[PARTICULAR]:[PARTICULAR]],_xlfn.AGGREGATE(15,3,(Table1[[#This Row],[Details]:[Details]]=$B17)/(Table1[[#This Row],[Details]:[Details]]=$B17)*(ROW(Table1[[Details]:[Details]])-ROW(Table1[[#Headers],[Details]])),COLUMNS($C$10:AY16))),"")</f>
        <v/>
      </c>
      <c r="AZ17" t="str">
        <f>IF(COLUMNS($C$10:AZ16)&lt;=$A17,INDEX(Table1[[PARTICULAR]:[PARTICULAR]],_xlfn.AGGREGATE(15,3,(Table1[[#This Row],[Details]:[Details]]=$B17)/(Table1[[#This Row],[Details]:[Details]]=$B17)*(ROW(Table1[[Details]:[Details]])-ROW(Table1[[#Headers],[Details]])),COLUMNS($C$10:AZ16))),"")</f>
        <v/>
      </c>
      <c r="BA17" t="str">
        <f>IF(COLUMNS($C$10:BA16)&lt;=$A17,INDEX(Table1[[PARTICULAR]:[PARTICULAR]],_xlfn.AGGREGATE(15,3,(Table1[[#This Row],[Details]:[Details]]=$B17)/(Table1[[#This Row],[Details]:[Details]]=$B17)*(ROW(Table1[[Details]:[Details]])-ROW(Table1[[#Headers],[Details]])),COLUMNS($C$10:BA16))),"")</f>
        <v/>
      </c>
      <c r="BB17" t="str">
        <f>IF(COLUMNS($C$10:BB16)&lt;=$A17,INDEX(Table1[[PARTICULAR]:[PARTICULAR]],_xlfn.AGGREGATE(15,3,(Table1[[#This Row],[Details]:[Details]]=$B17)/(Table1[[#This Row],[Details]:[Details]]=$B17)*(ROW(Table1[[Details]:[Details]])-ROW(Table1[[#Headers],[Details]])),COLUMNS($C$10:BB16))),"")</f>
        <v/>
      </c>
      <c r="BC17" t="str">
        <f>IF(COLUMNS($C$10:BC16)&lt;=$A17,INDEX(Table1[[PARTICULAR]:[PARTICULAR]],_xlfn.AGGREGATE(15,3,(Table1[[#This Row],[Details]:[Details]]=$B17)/(Table1[[#This Row],[Details]:[Details]]=$B17)*(ROW(Table1[[Details]:[Details]])-ROW(Table1[[#Headers],[Details]])),COLUMNS($C$10:BC16))),"")</f>
        <v/>
      </c>
      <c r="BD17" t="str">
        <f>IF(COLUMNS($C$10:BD16)&lt;=$A17,INDEX(Table1[[PARTICULAR]:[PARTICULAR]],_xlfn.AGGREGATE(15,3,(Table1[[#This Row],[Details]:[Details]]=$B17)/(Table1[[#This Row],[Details]:[Details]]=$B17)*(ROW(Table1[[Details]:[Details]])-ROW(Table1[[#Headers],[Details]])),COLUMNS($C$10:BD16))),"")</f>
        <v/>
      </c>
      <c r="BE17" t="str">
        <f>IF(COLUMNS($C$10:BE16)&lt;=$A17,INDEX(Table1[[PARTICULAR]:[PARTICULAR]],_xlfn.AGGREGATE(15,3,(Table1[[#This Row],[Details]:[Details]]=$B17)/(Table1[[#This Row],[Details]:[Details]]=$B17)*(ROW(Table1[[Details]:[Details]])-ROW(Table1[[#Headers],[Details]])),COLUMNS($C$10:BE16))),"")</f>
        <v/>
      </c>
      <c r="BF17" t="str">
        <f>IF(COLUMNS($C$10:BF16)&lt;=$A17,INDEX(Table1[[PARTICULAR]:[PARTICULAR]],_xlfn.AGGREGATE(15,3,(Table1[[#This Row],[Details]:[Details]]=$B17)/(Table1[[#This Row],[Details]:[Details]]=$B17)*(ROW(Table1[[Details]:[Details]])-ROW(Table1[[#Headers],[Details]])),COLUMNS($C$10:BF16))),"")</f>
        <v/>
      </c>
      <c r="BG17" t="str">
        <f>IF(COLUMNS($C$10:BG16)&lt;=$A17,INDEX(Table1[[PARTICULAR]:[PARTICULAR]],_xlfn.AGGREGATE(15,3,(Table1[[#This Row],[Details]:[Details]]=$B17)/(Table1[[#This Row],[Details]:[Details]]=$B17)*(ROW(Table1[[Details]:[Details]])-ROW(Table1[[#Headers],[Details]])),COLUMNS($C$10:BG16))),"")</f>
        <v/>
      </c>
      <c r="BH17" t="str">
        <f>IF(COLUMNS($C$10:BH16)&lt;=$A17,INDEX(Table1[[PARTICULAR]:[PARTICULAR]],_xlfn.AGGREGATE(15,3,(Table1[[#This Row],[Details]:[Details]]=$B17)/(Table1[[#This Row],[Details]:[Details]]=$B17)*(ROW(Table1[[Details]:[Details]])-ROW(Table1[[#Headers],[Details]])),COLUMNS($C$10:BH16))),"")</f>
        <v/>
      </c>
      <c r="BI17" t="str">
        <f>IF(COLUMNS($C$10:BI16)&lt;=$A17,INDEX(Table1[[PARTICULAR]:[PARTICULAR]],_xlfn.AGGREGATE(15,3,(Table1[[#This Row],[Details]:[Details]]=$B17)/(Table1[[#This Row],[Details]:[Details]]=$B17)*(ROW(Table1[[Details]:[Details]])-ROW(Table1[[#Headers],[Details]])),COLUMNS($C$10:BI16))),"")</f>
        <v/>
      </c>
      <c r="BJ17" t="str">
        <f>IF(COLUMNS($C$10:BJ16)&lt;=$A17,INDEX(Table1[[PARTICULAR]:[PARTICULAR]],_xlfn.AGGREGATE(15,3,(Table1[[#This Row],[Details]:[Details]]=$B17)/(Table1[[#This Row],[Details]:[Details]]=$B17)*(ROW(Table1[[Details]:[Details]])-ROW(Table1[[#Headers],[Details]])),COLUMNS($C$10:BJ16))),"")</f>
        <v/>
      </c>
      <c r="BK17" t="str">
        <f>IF(COLUMNS($C$10:BK16)&lt;=$A17,INDEX(Table1[[PARTICULAR]:[PARTICULAR]],_xlfn.AGGREGATE(15,3,(Table1[[#This Row],[Details]:[Details]]=$B17)/(Table1[[#This Row],[Details]:[Details]]=$B17)*(ROW(Table1[[Details]:[Details]])-ROW(Table1[[#Headers],[Details]])),COLUMNS($C$10:BK16))),"")</f>
        <v/>
      </c>
      <c r="BL17" t="str">
        <f>IF(COLUMNS($C$10:BL16)&lt;=$A17,INDEX(Table1[[PARTICULAR]:[PARTICULAR]],_xlfn.AGGREGATE(15,3,(Table1[[#This Row],[Details]:[Details]]=$B17)/(Table1[[#This Row],[Details]:[Details]]=$B17)*(ROW(Table1[[Details]:[Details]])-ROW(Table1[[#Headers],[Details]])),COLUMNS($C$10:BL16))),"")</f>
        <v/>
      </c>
      <c r="BM17" t="str">
        <f>IF(COLUMNS($C$10:BM16)&lt;=$A17,INDEX(Table1[[PARTICULAR]:[PARTICULAR]],_xlfn.AGGREGATE(15,3,(Table1[[#This Row],[Details]:[Details]]=$B17)/(Table1[[#This Row],[Details]:[Details]]=$B17)*(ROW(Table1[[Details]:[Details]])-ROW(Table1[[#Headers],[Details]])),COLUMNS($C$10:BM16))),"")</f>
        <v/>
      </c>
      <c r="BN17" t="str">
        <f>IF(COLUMNS($C$10:BN16)&lt;=$A17,INDEX(Table1[[PARTICULAR]:[PARTICULAR]],_xlfn.AGGREGATE(15,3,(Table1[[#This Row],[Details]:[Details]]=$B17)/(Table1[[#This Row],[Details]:[Details]]=$B17)*(ROW(Table1[[Details]:[Details]])-ROW(Table1[[#Headers],[Details]])),COLUMNS($C$10:BN16))),"")</f>
        <v/>
      </c>
      <c r="BO17" t="str">
        <f>IF(COLUMNS($C$10:BO16)&lt;=$A17,INDEX(Table1[[PARTICULAR]:[PARTICULAR]],_xlfn.AGGREGATE(15,3,(Table1[[#This Row],[Details]:[Details]]=$B17)/(Table1[[#This Row],[Details]:[Details]]=$B17)*(ROW(Table1[[Details]:[Details]])-ROW(Table1[[#Headers],[Details]])),COLUMNS($C$10:BO16))),"")</f>
        <v/>
      </c>
      <c r="BP17" t="str">
        <f>IF(COLUMNS($C$10:BP16)&lt;=$A17,INDEX(Table1[[PARTICULAR]:[PARTICULAR]],_xlfn.AGGREGATE(15,3,(Table1[[#This Row],[Details]:[Details]]=$B17)/(Table1[[#This Row],[Details]:[Details]]=$B17)*(ROW(Table1[[Details]:[Details]])-ROW(Table1[[#Headers],[Details]])),COLUMNS($C$10:BP16))),"")</f>
        <v/>
      </c>
      <c r="BQ17" t="str">
        <f>IF(COLUMNS($C$10:BQ16)&lt;=$A17,INDEX(Table1[[PARTICULAR]:[PARTICULAR]],_xlfn.AGGREGATE(15,3,(Table1[[#This Row],[Details]:[Details]]=$B17)/(Table1[[#This Row],[Details]:[Details]]=$B17)*(ROW(Table1[[Details]:[Details]])-ROW(Table1[[#Headers],[Details]])),COLUMNS($C$10:BQ16))),"")</f>
        <v/>
      </c>
      <c r="BR17" t="str">
        <f>IF(COLUMNS($C$10:BR16)&lt;=$A17,INDEX(Table1[[PARTICULAR]:[PARTICULAR]],_xlfn.AGGREGATE(15,3,(Table1[[#This Row],[Details]:[Details]]=$B17)/(Table1[[#This Row],[Details]:[Details]]=$B17)*(ROW(Table1[[Details]:[Details]])-ROW(Table1[[#Headers],[Details]])),COLUMNS($C$10:BR16))),"")</f>
        <v/>
      </c>
      <c r="BS17" t="str">
        <f>IF(COLUMNS($C$10:BS16)&lt;=$A17,INDEX(Table1[[PARTICULAR]:[PARTICULAR]],_xlfn.AGGREGATE(15,3,(Table1[[#This Row],[Details]:[Details]]=$B17)/(Table1[[#This Row],[Details]:[Details]]=$B17)*(ROW(Table1[[Details]:[Details]])-ROW(Table1[[#Headers],[Details]])),COLUMNS($C$10:BS16))),"")</f>
        <v/>
      </c>
      <c r="BT17" t="str">
        <f>IF(COLUMNS($C$10:BT16)&lt;=$A17,INDEX(Table1[[PARTICULAR]:[PARTICULAR]],_xlfn.AGGREGATE(15,3,(Table1[[#This Row],[Details]:[Details]]=$B17)/(Table1[[#This Row],[Details]:[Details]]=$B17)*(ROW(Table1[[Details]:[Details]])-ROW(Table1[[#Headers],[Details]])),COLUMNS($C$10:BT16))),"")</f>
        <v/>
      </c>
      <c r="BU17" t="str">
        <f>IF(COLUMNS($C$10:BU16)&lt;=$A17,INDEX(Table1[[PARTICULAR]:[PARTICULAR]],_xlfn.AGGREGATE(15,3,(Table1[[#This Row],[Details]:[Details]]=$B17)/(Table1[[#This Row],[Details]:[Details]]=$B17)*(ROW(Table1[[Details]:[Details]])-ROW(Table1[[#Headers],[Details]])),COLUMNS($C$10:BU16))),"")</f>
        <v/>
      </c>
      <c r="BV17" t="str">
        <f>IF(COLUMNS($C$10:BV16)&lt;=$A17,INDEX(Table1[[PARTICULAR]:[PARTICULAR]],_xlfn.AGGREGATE(15,3,(Table1[[#This Row],[Details]:[Details]]=$B17)/(Table1[[#This Row],[Details]:[Details]]=$B17)*(ROW(Table1[[Details]:[Details]])-ROW(Table1[[#Headers],[Details]])),COLUMNS($C$10:BV16))),"")</f>
        <v/>
      </c>
      <c r="BW17" t="str">
        <f>IF(COLUMNS($C$10:BW16)&lt;=$A17,INDEX(Table1[[PARTICULAR]:[PARTICULAR]],_xlfn.AGGREGATE(15,3,(Table1[[#This Row],[Details]:[Details]]=$B17)/(Table1[[#This Row],[Details]:[Details]]=$B17)*(ROW(Table1[[Details]:[Details]])-ROW(Table1[[#Headers],[Details]])),COLUMNS($C$10:BW16))),"")</f>
        <v/>
      </c>
      <c r="BX17" t="str">
        <f>IF(COLUMNS($C$10:BX16)&lt;=$A17,INDEX(Table1[[PARTICULAR]:[PARTICULAR]],_xlfn.AGGREGATE(15,3,(Table1[[#This Row],[Details]:[Details]]=$B17)/(Table1[[#This Row],[Details]:[Details]]=$B17)*(ROW(Table1[[Details]:[Details]])-ROW(Table1[[#Headers],[Details]])),COLUMNS($C$10:BX16))),"")</f>
        <v/>
      </c>
      <c r="BY17" t="str">
        <f>IF(COLUMNS($C$10:BY16)&lt;=$A17,INDEX(Table1[[PARTICULAR]:[PARTICULAR]],_xlfn.AGGREGATE(15,3,(Table1[[#This Row],[Details]:[Details]]=$B17)/(Table1[[#This Row],[Details]:[Details]]=$B17)*(ROW(Table1[[Details]:[Details]])-ROW(Table1[[#Headers],[Details]])),COLUMNS($C$10:BY16))),"")</f>
        <v/>
      </c>
      <c r="BZ17" t="str">
        <f>IF(COLUMNS($C$10:BZ16)&lt;=$A17,INDEX(Table1[[PARTICULAR]:[PARTICULAR]],_xlfn.AGGREGATE(15,3,(Table1[[#This Row],[Details]:[Details]]=$B17)/(Table1[[#This Row],[Details]:[Details]]=$B17)*(ROW(Table1[[Details]:[Details]])-ROW(Table1[[#Headers],[Details]])),COLUMNS($C$10:BZ16))),"")</f>
        <v/>
      </c>
      <c r="CA17" t="str">
        <f>IF(COLUMNS($C$10:CA16)&lt;=$A17,INDEX(Table1[[PARTICULAR]:[PARTICULAR]],_xlfn.AGGREGATE(15,3,(Table1[[#This Row],[Details]:[Details]]=$B17)/(Table1[[#This Row],[Details]:[Details]]=$B17)*(ROW(Table1[[Details]:[Details]])-ROW(Table1[[#Headers],[Details]])),COLUMNS($C$10:CA16))),"")</f>
        <v/>
      </c>
      <c r="CB17" t="str">
        <f>IF(COLUMNS($C$10:CB16)&lt;=$A17,INDEX(Table1[[PARTICULAR]:[PARTICULAR]],_xlfn.AGGREGATE(15,3,(Table1[[#This Row],[Details]:[Details]]=$B17)/(Table1[[#This Row],[Details]:[Details]]=$B17)*(ROW(Table1[[Details]:[Details]])-ROW(Table1[[#Headers],[Details]])),COLUMNS($C$10:CB16))),"")</f>
        <v/>
      </c>
    </row>
    <row r="18" spans="1:80">
      <c r="A18">
        <f>COUNTIF(Table1[Details],B18)</f>
        <v>9</v>
      </c>
      <c r="B18" s="97" t="str">
        <f>IFERROR(INDEX(Table1[Details],MATCH(0,INDEX(COUNTIF($B$10:B17,Table1[Details]),),0)),"")</f>
        <v>Flex</v>
      </c>
      <c r="C18" t="str">
        <f>IF(COLUMNS($C$10:C17)&lt;=$A18,INDEX(Table1[[PARTICULAR]:[PARTICULAR]],_xlfn.AGGREGATE(15,3,(Table1[[#This Row],[Details]:[Details]]=$B18)/(Table1[[#This Row],[Details]:[Details]]=$B18)*(ROW(Table1[[Details]:[Details]])-ROW(Table1[[#Headers],[Details]])),COLUMNS($C$10:C17))),"")</f>
        <v>Star Flex Eco solvent Print</v>
      </c>
      <c r="D18" t="str">
        <f>IF(COLUMNS($C$10:D17)&lt;=$A18,INDEX(Table1[[PARTICULAR]:[PARTICULAR]],_xlfn.AGGREGATE(15,3,(Table1[[#This Row],[Details]:[Details]]=$B18)/(Table1[[#This Row],[Details]:[Details]]=$B18)*(ROW(Table1[[Details]:[Details]])-ROW(Table1[[#Headers],[Details]])),COLUMNS($C$10:D17))),"")</f>
        <v>Plain Flex</v>
      </c>
      <c r="E18" t="str">
        <f>IF(COLUMNS($C$10:E17)&lt;=$A18,INDEX(Table1[[PARTICULAR]:[PARTICULAR]],_xlfn.AGGREGATE(15,3,(Table1[[#This Row],[Details]:[Details]]=$B18)/(Table1[[#This Row],[Details]:[Details]]=$B18)*(ROW(Table1[[Details]:[Details]])-ROW(Table1[[#Headers],[Details]])),COLUMNS($C$10:E17))),"")</f>
        <v>Backlit Flex Printing</v>
      </c>
      <c r="F18" t="str">
        <f>IF(COLUMNS($C$10:F17)&lt;=$A18,INDEX(Table1[[PARTICULAR]:[PARTICULAR]],_xlfn.AGGREGATE(15,3,(Table1[[#This Row],[Details]:[Details]]=$B18)/(Table1[[#This Row],[Details]:[Details]]=$B18)*(ROW(Table1[[Details]:[Details]])-ROW(Table1[[#Headers],[Details]])),COLUMNS($C$10:F17))),"")</f>
        <v>BACKLIT FLEX PRINT-16 OZ        </v>
      </c>
      <c r="G18" t="str">
        <f>IF(COLUMNS($C$10:G17)&lt;=$A18,INDEX(Table1[[PARTICULAR]:[PARTICULAR]],_xlfn.AGGREGATE(15,3,(Table1[[#This Row],[Details]:[Details]]=$B18)/(Table1[[#This Row],[Details]:[Details]]=$B18)*(ROW(Table1[[Details]:[Details]])-ROW(Table1[[#Headers],[Details]])),COLUMNS($C$10:G17))),"")</f>
        <v>Frontlit Flex Printing</v>
      </c>
      <c r="H18" t="str">
        <f>IF(COLUMNS($C$10:H17)&lt;=$A18,INDEX(Table1[[PARTICULAR]:[PARTICULAR]],_xlfn.AGGREGATE(15,3,(Table1[[#This Row],[Details]:[Details]]=$B18)/(Table1[[#This Row],[Details]:[Details]]=$B18)*(ROW(Table1[[Details]:[Details]])-ROW(Table1[[#Headers],[Details]])),COLUMNS($C$10:H17))),"")</f>
        <v>Frontlit Flex Print On Branded Media</v>
      </c>
      <c r="I18" t="str">
        <f>IF(COLUMNS($C$10:I17)&lt;=$A18,INDEX(Table1[[PARTICULAR]:[PARTICULAR]],_xlfn.AGGREGATE(15,3,(Table1[[#This Row],[Details]:[Details]]=$B18)/(Table1[[#This Row],[Details]:[Details]]=$B18)*(ROW(Table1[[Details]:[Details]])-ROW(Table1[[#Headers],[Details]])),COLUMNS($C$10:I17))),"")</f>
        <v>PVC Flex</v>
      </c>
      <c r="J18" t="str">
        <f>IF(COLUMNS($C$10:J17)&lt;=$A18,INDEX(Table1[[PARTICULAR]:[PARTICULAR]],_xlfn.AGGREGATE(15,3,(Table1[[#This Row],[Details]:[Details]]=$B18)/(Table1[[#This Row],[Details]:[Details]]=$B18)*(ROW(Table1[[Details]:[Details]])-ROW(Table1[[#Headers],[Details]])),COLUMNS($C$10:J17))),"")</f>
        <v>Flex Mounting &amp; Fitting Charges</v>
      </c>
      <c r="K18" t="str">
        <f>IF(COLUMNS($C$10:K17)&lt;=$A18,INDEX(Table1[[PARTICULAR]:[PARTICULAR]],_xlfn.AGGREGATE(15,3,(Table1[[#This Row],[Details]:[Details]]=$B18)/(Table1[[#This Row],[Details]:[Details]]=$B18)*(ROW(Table1[[Details]:[Details]])-ROW(Table1[[#Headers],[Details]])),COLUMNS($C$10:K17))),"")</f>
        <v>Grey back Flex Eco solvent Print</v>
      </c>
      <c r="L18" t="str">
        <f>IF(COLUMNS($C$10:L17)&lt;=$A18,INDEX(Table1[[PARTICULAR]:[PARTICULAR]],_xlfn.AGGREGATE(15,3,(Table1[[#This Row],[Details]:[Details]]=$B18)/(Table1[[#This Row],[Details]:[Details]]=$B18)*(ROW(Table1[[Details]:[Details]])-ROW(Table1[[#Headers],[Details]])),COLUMNS($C$10:L17))),"")</f>
        <v/>
      </c>
      <c r="M18" t="str">
        <f>IF(COLUMNS($C$10:M17)&lt;=$A18,INDEX(Table1[[PARTICULAR]:[PARTICULAR]],_xlfn.AGGREGATE(15,3,(Table1[[#This Row],[Details]:[Details]]=$B18)/(Table1[[#This Row],[Details]:[Details]]=$B18)*(ROW(Table1[[Details]:[Details]])-ROW(Table1[[#Headers],[Details]])),COLUMNS($C$10:M17))),"")</f>
        <v/>
      </c>
      <c r="N18" t="str">
        <f>IF(COLUMNS($C$10:N17)&lt;=$A18,INDEX(Table1[[PARTICULAR]:[PARTICULAR]],_xlfn.AGGREGATE(15,3,(Table1[[#This Row],[Details]:[Details]]=$B18)/(Table1[[#This Row],[Details]:[Details]]=$B18)*(ROW(Table1[[Details]:[Details]])-ROW(Table1[[#Headers],[Details]])),COLUMNS($C$10:N17))),"")</f>
        <v/>
      </c>
      <c r="O18" t="str">
        <f>IF(COLUMNS($C$10:O17)&lt;=$A18,INDEX(Table1[[PARTICULAR]:[PARTICULAR]],_xlfn.AGGREGATE(15,3,(Table1[[#This Row],[Details]:[Details]]=$B18)/(Table1[[#This Row],[Details]:[Details]]=$B18)*(ROW(Table1[[Details]:[Details]])-ROW(Table1[[#Headers],[Details]])),COLUMNS($C$10:O17))),"")</f>
        <v/>
      </c>
      <c r="P18" t="str">
        <f>IF(COLUMNS($C$10:P17)&lt;=$A18,INDEX(Table1[[PARTICULAR]:[PARTICULAR]],_xlfn.AGGREGATE(15,3,(Table1[[#This Row],[Details]:[Details]]=$B18)/(Table1[[#This Row],[Details]:[Details]]=$B18)*(ROW(Table1[[Details]:[Details]])-ROW(Table1[[#Headers],[Details]])),COLUMNS($C$10:P17))),"")</f>
        <v/>
      </c>
      <c r="Q18" t="str">
        <f>IF(COLUMNS($C$10:Q17)&lt;=$A18,INDEX(Table1[[PARTICULAR]:[PARTICULAR]],_xlfn.AGGREGATE(15,3,(Table1[[#This Row],[Details]:[Details]]=$B18)/(Table1[[#This Row],[Details]:[Details]]=$B18)*(ROW(Table1[[Details]:[Details]])-ROW(Table1[[#Headers],[Details]])),COLUMNS($C$10:Q17))),"")</f>
        <v/>
      </c>
      <c r="R18" t="str">
        <f>IF(COLUMNS($C$10:R17)&lt;=$A18,INDEX(Table1[[PARTICULAR]:[PARTICULAR]],_xlfn.AGGREGATE(15,3,(Table1[[#This Row],[Details]:[Details]]=$B18)/(Table1[[#This Row],[Details]:[Details]]=$B18)*(ROW(Table1[[Details]:[Details]])-ROW(Table1[[#Headers],[Details]])),COLUMNS($C$10:R17))),"")</f>
        <v/>
      </c>
      <c r="S18" t="str">
        <f>IF(COLUMNS($C$10:S17)&lt;=$A18,INDEX(Table1[[PARTICULAR]:[PARTICULAR]],_xlfn.AGGREGATE(15,3,(Table1[[#This Row],[Details]:[Details]]=$B18)/(Table1[[#This Row],[Details]:[Details]]=$B18)*(ROW(Table1[[Details]:[Details]])-ROW(Table1[[#Headers],[Details]])),COLUMNS($C$10:S17))),"")</f>
        <v/>
      </c>
      <c r="T18" t="str">
        <f>IF(COLUMNS($C$10:T17)&lt;=$A18,INDEX(Table1[[PARTICULAR]:[PARTICULAR]],_xlfn.AGGREGATE(15,3,(Table1[[#This Row],[Details]:[Details]]=$B18)/(Table1[[#This Row],[Details]:[Details]]=$B18)*(ROW(Table1[[Details]:[Details]])-ROW(Table1[[#Headers],[Details]])),COLUMNS($C$10:T17))),"")</f>
        <v/>
      </c>
      <c r="U18" t="str">
        <f>IF(COLUMNS($C$10:U17)&lt;=$A18,INDEX(Table1[[PARTICULAR]:[PARTICULAR]],_xlfn.AGGREGATE(15,3,(Table1[[#This Row],[Details]:[Details]]=$B18)/(Table1[[#This Row],[Details]:[Details]]=$B18)*(ROW(Table1[[Details]:[Details]])-ROW(Table1[[#Headers],[Details]])),COLUMNS($C$10:U17))),"")</f>
        <v/>
      </c>
      <c r="V18" t="str">
        <f>IF(COLUMNS($C$10:V17)&lt;=$A18,INDEX(Table1[[PARTICULAR]:[PARTICULAR]],_xlfn.AGGREGATE(15,3,(Table1[[#This Row],[Details]:[Details]]=$B18)/(Table1[[#This Row],[Details]:[Details]]=$B18)*(ROW(Table1[[Details]:[Details]])-ROW(Table1[[#Headers],[Details]])),COLUMNS($C$10:V17))),"")</f>
        <v/>
      </c>
      <c r="W18" t="str">
        <f>IF(COLUMNS($C$10:W17)&lt;=$A18,INDEX(Table1[[PARTICULAR]:[PARTICULAR]],_xlfn.AGGREGATE(15,3,(Table1[[#This Row],[Details]:[Details]]=$B18)/(Table1[[#This Row],[Details]:[Details]]=$B18)*(ROW(Table1[[Details]:[Details]])-ROW(Table1[[#Headers],[Details]])),COLUMNS($C$10:W17))),"")</f>
        <v/>
      </c>
      <c r="X18" t="str">
        <f>IF(COLUMNS($C$10:X17)&lt;=$A18,INDEX(Table1[[PARTICULAR]:[PARTICULAR]],_xlfn.AGGREGATE(15,3,(Table1[[#This Row],[Details]:[Details]]=$B18)/(Table1[[#This Row],[Details]:[Details]]=$B18)*(ROW(Table1[[Details]:[Details]])-ROW(Table1[[#Headers],[Details]])),COLUMNS($C$10:X17))),"")</f>
        <v/>
      </c>
      <c r="Y18" t="str">
        <f>IF(COLUMNS($C$10:Y17)&lt;=$A18,INDEX(Table1[[PARTICULAR]:[PARTICULAR]],_xlfn.AGGREGATE(15,3,(Table1[[#This Row],[Details]:[Details]]=$B18)/(Table1[[#This Row],[Details]:[Details]]=$B18)*(ROW(Table1[[Details]:[Details]])-ROW(Table1[[#Headers],[Details]])),COLUMNS($C$10:Y17))),"")</f>
        <v/>
      </c>
      <c r="Z18" t="str">
        <f>IF(COLUMNS($C$10:Z17)&lt;=$A18,INDEX(Table1[[PARTICULAR]:[PARTICULAR]],_xlfn.AGGREGATE(15,3,(Table1[[#This Row],[Details]:[Details]]=$B18)/(Table1[[#This Row],[Details]:[Details]]=$B18)*(ROW(Table1[[Details]:[Details]])-ROW(Table1[[#Headers],[Details]])),COLUMNS($C$10:Z17))),"")</f>
        <v/>
      </c>
      <c r="AA18" t="str">
        <f>IF(COLUMNS($C$10:AA17)&lt;=$A18,INDEX(Table1[[PARTICULAR]:[PARTICULAR]],_xlfn.AGGREGATE(15,3,(Table1[[#This Row],[Details]:[Details]]=$B18)/(Table1[[#This Row],[Details]:[Details]]=$B18)*(ROW(Table1[[Details]:[Details]])-ROW(Table1[[#Headers],[Details]])),COLUMNS($C$10:AA17))),"")</f>
        <v/>
      </c>
      <c r="AB18" t="str">
        <f>IF(COLUMNS($C$10:AB17)&lt;=$A18,INDEX(Table1[[PARTICULAR]:[PARTICULAR]],_xlfn.AGGREGATE(15,3,(Table1[[#This Row],[Details]:[Details]]=$B18)/(Table1[[#This Row],[Details]:[Details]]=$B18)*(ROW(Table1[[Details]:[Details]])-ROW(Table1[[#Headers],[Details]])),COLUMNS($C$10:AB17))),"")</f>
        <v/>
      </c>
      <c r="AC18" t="str">
        <f>IF(COLUMNS($C$10:AC17)&lt;=$A18,INDEX(Table1[[PARTICULAR]:[PARTICULAR]],_xlfn.AGGREGATE(15,3,(Table1[[#This Row],[Details]:[Details]]=$B18)/(Table1[[#This Row],[Details]:[Details]]=$B18)*(ROW(Table1[[Details]:[Details]])-ROW(Table1[[#Headers],[Details]])),COLUMNS($C$10:AC17))),"")</f>
        <v/>
      </c>
      <c r="AD18" t="str">
        <f>IF(COLUMNS($C$10:AD17)&lt;=$A18,INDEX(Table1[[PARTICULAR]:[PARTICULAR]],_xlfn.AGGREGATE(15,3,(Table1[[#This Row],[Details]:[Details]]=$B18)/(Table1[[#This Row],[Details]:[Details]]=$B18)*(ROW(Table1[[Details]:[Details]])-ROW(Table1[[#Headers],[Details]])),COLUMNS($C$10:AD17))),"")</f>
        <v/>
      </c>
      <c r="AE18" t="str">
        <f>IF(COLUMNS($C$10:AE17)&lt;=$A18,INDEX(Table1[[PARTICULAR]:[PARTICULAR]],_xlfn.AGGREGATE(15,3,(Table1[[#This Row],[Details]:[Details]]=$B18)/(Table1[[#This Row],[Details]:[Details]]=$B18)*(ROW(Table1[[Details]:[Details]])-ROW(Table1[[#Headers],[Details]])),COLUMNS($C$10:AE17))),"")</f>
        <v/>
      </c>
      <c r="AF18" t="str">
        <f>IF(COLUMNS($C$10:AF17)&lt;=$A18,INDEX(Table1[[PARTICULAR]:[PARTICULAR]],_xlfn.AGGREGATE(15,3,(Table1[[#This Row],[Details]:[Details]]=$B18)/(Table1[[#This Row],[Details]:[Details]]=$B18)*(ROW(Table1[[Details]:[Details]])-ROW(Table1[[#Headers],[Details]])),COLUMNS($C$10:AF17))),"")</f>
        <v/>
      </c>
      <c r="AG18" t="str">
        <f>IF(COLUMNS($C$10:AG17)&lt;=$A18,INDEX(Table1[[PARTICULAR]:[PARTICULAR]],_xlfn.AGGREGATE(15,3,(Table1[[#This Row],[Details]:[Details]]=$B18)/(Table1[[#This Row],[Details]:[Details]]=$B18)*(ROW(Table1[[Details]:[Details]])-ROW(Table1[[#Headers],[Details]])),COLUMNS($C$10:AG17))),"")</f>
        <v/>
      </c>
      <c r="AH18" t="str">
        <f>IF(COLUMNS($C$10:AH17)&lt;=$A18,INDEX(Table1[[PARTICULAR]:[PARTICULAR]],_xlfn.AGGREGATE(15,3,(Table1[[#This Row],[Details]:[Details]]=$B18)/(Table1[[#This Row],[Details]:[Details]]=$B18)*(ROW(Table1[[Details]:[Details]])-ROW(Table1[[#Headers],[Details]])),COLUMNS($C$10:AH17))),"")</f>
        <v/>
      </c>
      <c r="AI18" t="str">
        <f>IF(COLUMNS($C$10:AI17)&lt;=$A18,INDEX(Table1[[PARTICULAR]:[PARTICULAR]],_xlfn.AGGREGATE(15,3,(Table1[[#This Row],[Details]:[Details]]=$B18)/(Table1[[#This Row],[Details]:[Details]]=$B18)*(ROW(Table1[[Details]:[Details]])-ROW(Table1[[#Headers],[Details]])),COLUMNS($C$10:AI17))),"")</f>
        <v/>
      </c>
      <c r="AJ18" t="str">
        <f>IF(COLUMNS($C$10:AJ17)&lt;=$A18,INDEX(Table1[[PARTICULAR]:[PARTICULAR]],_xlfn.AGGREGATE(15,3,(Table1[[#This Row],[Details]:[Details]]=$B18)/(Table1[[#This Row],[Details]:[Details]]=$B18)*(ROW(Table1[[Details]:[Details]])-ROW(Table1[[#Headers],[Details]])),COLUMNS($C$10:AJ17))),"")</f>
        <v/>
      </c>
      <c r="AK18" t="str">
        <f>IF(COLUMNS($C$10:AK17)&lt;=$A18,INDEX(Table1[[PARTICULAR]:[PARTICULAR]],_xlfn.AGGREGATE(15,3,(Table1[[#This Row],[Details]:[Details]]=$B18)/(Table1[[#This Row],[Details]:[Details]]=$B18)*(ROW(Table1[[Details]:[Details]])-ROW(Table1[[#Headers],[Details]])),COLUMNS($C$10:AK17))),"")</f>
        <v/>
      </c>
      <c r="AL18" t="str">
        <f>IF(COLUMNS($C$10:AL17)&lt;=$A18,INDEX(Table1[[PARTICULAR]:[PARTICULAR]],_xlfn.AGGREGATE(15,3,(Table1[[#This Row],[Details]:[Details]]=$B18)/(Table1[[#This Row],[Details]:[Details]]=$B18)*(ROW(Table1[[Details]:[Details]])-ROW(Table1[[#Headers],[Details]])),COLUMNS($C$10:AL17))),"")</f>
        <v/>
      </c>
      <c r="AM18" t="str">
        <f>IF(COLUMNS($C$10:AM17)&lt;=$A18,INDEX(Table1[[PARTICULAR]:[PARTICULAR]],_xlfn.AGGREGATE(15,3,(Table1[[#This Row],[Details]:[Details]]=$B18)/(Table1[[#This Row],[Details]:[Details]]=$B18)*(ROW(Table1[[Details]:[Details]])-ROW(Table1[[#Headers],[Details]])),COLUMNS($C$10:AM17))),"")</f>
        <v/>
      </c>
      <c r="AN18" t="str">
        <f>IF(COLUMNS($C$10:AN17)&lt;=$A18,INDEX(Table1[[PARTICULAR]:[PARTICULAR]],_xlfn.AGGREGATE(15,3,(Table1[[#This Row],[Details]:[Details]]=$B18)/(Table1[[#This Row],[Details]:[Details]]=$B18)*(ROW(Table1[[Details]:[Details]])-ROW(Table1[[#Headers],[Details]])),COLUMNS($C$10:AN17))),"")</f>
        <v/>
      </c>
      <c r="AO18" t="str">
        <f>IF(COLUMNS($C$10:AO17)&lt;=$A18,INDEX(Table1[[PARTICULAR]:[PARTICULAR]],_xlfn.AGGREGATE(15,3,(Table1[[#This Row],[Details]:[Details]]=$B18)/(Table1[[#This Row],[Details]:[Details]]=$B18)*(ROW(Table1[[Details]:[Details]])-ROW(Table1[[#Headers],[Details]])),COLUMNS($C$10:AO17))),"")</f>
        <v/>
      </c>
      <c r="AP18" t="str">
        <f>IF(COLUMNS($C$10:AP17)&lt;=$A18,INDEX(Table1[[PARTICULAR]:[PARTICULAR]],_xlfn.AGGREGATE(15,3,(Table1[[#This Row],[Details]:[Details]]=$B18)/(Table1[[#This Row],[Details]:[Details]]=$B18)*(ROW(Table1[[Details]:[Details]])-ROW(Table1[[#Headers],[Details]])),COLUMNS($C$10:AP17))),"")</f>
        <v/>
      </c>
      <c r="AQ18" t="str">
        <f>IF(COLUMNS($C$10:AQ17)&lt;=$A18,INDEX(Table1[[PARTICULAR]:[PARTICULAR]],_xlfn.AGGREGATE(15,3,(Table1[[#This Row],[Details]:[Details]]=$B18)/(Table1[[#This Row],[Details]:[Details]]=$B18)*(ROW(Table1[[Details]:[Details]])-ROW(Table1[[#Headers],[Details]])),COLUMNS($C$10:AQ17))),"")</f>
        <v/>
      </c>
      <c r="AR18" t="str">
        <f>IF(COLUMNS($C$10:AR17)&lt;=$A18,INDEX(Table1[[PARTICULAR]:[PARTICULAR]],_xlfn.AGGREGATE(15,3,(Table1[[#This Row],[Details]:[Details]]=$B18)/(Table1[[#This Row],[Details]:[Details]]=$B18)*(ROW(Table1[[Details]:[Details]])-ROW(Table1[[#Headers],[Details]])),COLUMNS($C$10:AR17))),"")</f>
        <v/>
      </c>
      <c r="AS18" t="str">
        <f>IF(COLUMNS($C$10:AS17)&lt;=$A18,INDEX(Table1[[PARTICULAR]:[PARTICULAR]],_xlfn.AGGREGATE(15,3,(Table1[[#This Row],[Details]:[Details]]=$B18)/(Table1[[#This Row],[Details]:[Details]]=$B18)*(ROW(Table1[[Details]:[Details]])-ROW(Table1[[#Headers],[Details]])),COLUMNS($C$10:AS17))),"")</f>
        <v/>
      </c>
      <c r="AT18" t="str">
        <f>IF(COLUMNS($C$10:AT17)&lt;=$A18,INDEX(Table1[[PARTICULAR]:[PARTICULAR]],_xlfn.AGGREGATE(15,3,(Table1[[#This Row],[Details]:[Details]]=$B18)/(Table1[[#This Row],[Details]:[Details]]=$B18)*(ROW(Table1[[Details]:[Details]])-ROW(Table1[[#Headers],[Details]])),COLUMNS($C$10:AT17))),"")</f>
        <v/>
      </c>
      <c r="AU18" t="str">
        <f>IF(COLUMNS($C$10:AU17)&lt;=$A18,INDEX(Table1[[PARTICULAR]:[PARTICULAR]],_xlfn.AGGREGATE(15,3,(Table1[[#This Row],[Details]:[Details]]=$B18)/(Table1[[#This Row],[Details]:[Details]]=$B18)*(ROW(Table1[[Details]:[Details]])-ROW(Table1[[#Headers],[Details]])),COLUMNS($C$10:AU17))),"")</f>
        <v/>
      </c>
      <c r="AV18" t="str">
        <f>IF(COLUMNS($C$10:AV17)&lt;=$A18,INDEX(Table1[[PARTICULAR]:[PARTICULAR]],_xlfn.AGGREGATE(15,3,(Table1[[#This Row],[Details]:[Details]]=$B18)/(Table1[[#This Row],[Details]:[Details]]=$B18)*(ROW(Table1[[Details]:[Details]])-ROW(Table1[[#Headers],[Details]])),COLUMNS($C$10:AV17))),"")</f>
        <v/>
      </c>
      <c r="AW18" t="str">
        <f>IF(COLUMNS($C$10:AW17)&lt;=$A18,INDEX(Table1[[PARTICULAR]:[PARTICULAR]],_xlfn.AGGREGATE(15,3,(Table1[[#This Row],[Details]:[Details]]=$B18)/(Table1[[#This Row],[Details]:[Details]]=$B18)*(ROW(Table1[[Details]:[Details]])-ROW(Table1[[#Headers],[Details]])),COLUMNS($C$10:AW17))),"")</f>
        <v/>
      </c>
      <c r="AX18" t="str">
        <f>IF(COLUMNS($C$10:AX17)&lt;=$A18,INDEX(Table1[[PARTICULAR]:[PARTICULAR]],_xlfn.AGGREGATE(15,3,(Table1[[#This Row],[Details]:[Details]]=$B18)/(Table1[[#This Row],[Details]:[Details]]=$B18)*(ROW(Table1[[Details]:[Details]])-ROW(Table1[[#Headers],[Details]])),COLUMNS($C$10:AX17))),"")</f>
        <v/>
      </c>
      <c r="AY18" t="str">
        <f>IF(COLUMNS($C$10:AY17)&lt;=$A18,INDEX(Table1[[PARTICULAR]:[PARTICULAR]],_xlfn.AGGREGATE(15,3,(Table1[[#This Row],[Details]:[Details]]=$B18)/(Table1[[#This Row],[Details]:[Details]]=$B18)*(ROW(Table1[[Details]:[Details]])-ROW(Table1[[#Headers],[Details]])),COLUMNS($C$10:AY17))),"")</f>
        <v/>
      </c>
      <c r="AZ18" t="str">
        <f>IF(COLUMNS($C$10:AZ17)&lt;=$A18,INDEX(Table1[[PARTICULAR]:[PARTICULAR]],_xlfn.AGGREGATE(15,3,(Table1[[#This Row],[Details]:[Details]]=$B18)/(Table1[[#This Row],[Details]:[Details]]=$B18)*(ROW(Table1[[Details]:[Details]])-ROW(Table1[[#Headers],[Details]])),COLUMNS($C$10:AZ17))),"")</f>
        <v/>
      </c>
      <c r="BA18" t="str">
        <f>IF(COLUMNS($C$10:BA17)&lt;=$A18,INDEX(Table1[[PARTICULAR]:[PARTICULAR]],_xlfn.AGGREGATE(15,3,(Table1[[#This Row],[Details]:[Details]]=$B18)/(Table1[[#This Row],[Details]:[Details]]=$B18)*(ROW(Table1[[Details]:[Details]])-ROW(Table1[[#Headers],[Details]])),COLUMNS($C$10:BA17))),"")</f>
        <v/>
      </c>
      <c r="BB18" t="str">
        <f>IF(COLUMNS($C$10:BB17)&lt;=$A18,INDEX(Table1[[PARTICULAR]:[PARTICULAR]],_xlfn.AGGREGATE(15,3,(Table1[[#This Row],[Details]:[Details]]=$B18)/(Table1[[#This Row],[Details]:[Details]]=$B18)*(ROW(Table1[[Details]:[Details]])-ROW(Table1[[#Headers],[Details]])),COLUMNS($C$10:BB17))),"")</f>
        <v/>
      </c>
      <c r="BC18" t="str">
        <f>IF(COLUMNS($C$10:BC17)&lt;=$A18,INDEX(Table1[[PARTICULAR]:[PARTICULAR]],_xlfn.AGGREGATE(15,3,(Table1[[#This Row],[Details]:[Details]]=$B18)/(Table1[[#This Row],[Details]:[Details]]=$B18)*(ROW(Table1[[Details]:[Details]])-ROW(Table1[[#Headers],[Details]])),COLUMNS($C$10:BC17))),"")</f>
        <v/>
      </c>
      <c r="BD18" t="str">
        <f>IF(COLUMNS($C$10:BD17)&lt;=$A18,INDEX(Table1[[PARTICULAR]:[PARTICULAR]],_xlfn.AGGREGATE(15,3,(Table1[[#This Row],[Details]:[Details]]=$B18)/(Table1[[#This Row],[Details]:[Details]]=$B18)*(ROW(Table1[[Details]:[Details]])-ROW(Table1[[#Headers],[Details]])),COLUMNS($C$10:BD17))),"")</f>
        <v/>
      </c>
      <c r="BE18" t="str">
        <f>IF(COLUMNS($C$10:BE17)&lt;=$A18,INDEX(Table1[[PARTICULAR]:[PARTICULAR]],_xlfn.AGGREGATE(15,3,(Table1[[#This Row],[Details]:[Details]]=$B18)/(Table1[[#This Row],[Details]:[Details]]=$B18)*(ROW(Table1[[Details]:[Details]])-ROW(Table1[[#Headers],[Details]])),COLUMNS($C$10:BE17))),"")</f>
        <v/>
      </c>
      <c r="BF18" t="str">
        <f>IF(COLUMNS($C$10:BF17)&lt;=$A18,INDEX(Table1[[PARTICULAR]:[PARTICULAR]],_xlfn.AGGREGATE(15,3,(Table1[[#This Row],[Details]:[Details]]=$B18)/(Table1[[#This Row],[Details]:[Details]]=$B18)*(ROW(Table1[[Details]:[Details]])-ROW(Table1[[#Headers],[Details]])),COLUMNS($C$10:BF17))),"")</f>
        <v/>
      </c>
      <c r="BG18" t="str">
        <f>IF(COLUMNS($C$10:BG17)&lt;=$A18,INDEX(Table1[[PARTICULAR]:[PARTICULAR]],_xlfn.AGGREGATE(15,3,(Table1[[#This Row],[Details]:[Details]]=$B18)/(Table1[[#This Row],[Details]:[Details]]=$B18)*(ROW(Table1[[Details]:[Details]])-ROW(Table1[[#Headers],[Details]])),COLUMNS($C$10:BG17))),"")</f>
        <v/>
      </c>
      <c r="BH18" t="str">
        <f>IF(COLUMNS($C$10:BH17)&lt;=$A18,INDEX(Table1[[PARTICULAR]:[PARTICULAR]],_xlfn.AGGREGATE(15,3,(Table1[[#This Row],[Details]:[Details]]=$B18)/(Table1[[#This Row],[Details]:[Details]]=$B18)*(ROW(Table1[[Details]:[Details]])-ROW(Table1[[#Headers],[Details]])),COLUMNS($C$10:BH17))),"")</f>
        <v/>
      </c>
      <c r="BI18" t="str">
        <f>IF(COLUMNS($C$10:BI17)&lt;=$A18,INDEX(Table1[[PARTICULAR]:[PARTICULAR]],_xlfn.AGGREGATE(15,3,(Table1[[#This Row],[Details]:[Details]]=$B18)/(Table1[[#This Row],[Details]:[Details]]=$B18)*(ROW(Table1[[Details]:[Details]])-ROW(Table1[[#Headers],[Details]])),COLUMNS($C$10:BI17))),"")</f>
        <v/>
      </c>
      <c r="BJ18" t="str">
        <f>IF(COLUMNS($C$10:BJ17)&lt;=$A18,INDEX(Table1[[PARTICULAR]:[PARTICULAR]],_xlfn.AGGREGATE(15,3,(Table1[[#This Row],[Details]:[Details]]=$B18)/(Table1[[#This Row],[Details]:[Details]]=$B18)*(ROW(Table1[[Details]:[Details]])-ROW(Table1[[#Headers],[Details]])),COLUMNS($C$10:BJ17))),"")</f>
        <v/>
      </c>
      <c r="BK18" t="str">
        <f>IF(COLUMNS($C$10:BK17)&lt;=$A18,INDEX(Table1[[PARTICULAR]:[PARTICULAR]],_xlfn.AGGREGATE(15,3,(Table1[[#This Row],[Details]:[Details]]=$B18)/(Table1[[#This Row],[Details]:[Details]]=$B18)*(ROW(Table1[[Details]:[Details]])-ROW(Table1[[#Headers],[Details]])),COLUMNS($C$10:BK17))),"")</f>
        <v/>
      </c>
      <c r="BL18" t="str">
        <f>IF(COLUMNS($C$10:BL17)&lt;=$A18,INDEX(Table1[[PARTICULAR]:[PARTICULAR]],_xlfn.AGGREGATE(15,3,(Table1[[#This Row],[Details]:[Details]]=$B18)/(Table1[[#This Row],[Details]:[Details]]=$B18)*(ROW(Table1[[Details]:[Details]])-ROW(Table1[[#Headers],[Details]])),COLUMNS($C$10:BL17))),"")</f>
        <v/>
      </c>
      <c r="BM18" t="str">
        <f>IF(COLUMNS($C$10:BM17)&lt;=$A18,INDEX(Table1[[PARTICULAR]:[PARTICULAR]],_xlfn.AGGREGATE(15,3,(Table1[[#This Row],[Details]:[Details]]=$B18)/(Table1[[#This Row],[Details]:[Details]]=$B18)*(ROW(Table1[[Details]:[Details]])-ROW(Table1[[#Headers],[Details]])),COLUMNS($C$10:BM17))),"")</f>
        <v/>
      </c>
      <c r="BN18" t="str">
        <f>IF(COLUMNS($C$10:BN17)&lt;=$A18,INDEX(Table1[[PARTICULAR]:[PARTICULAR]],_xlfn.AGGREGATE(15,3,(Table1[[#This Row],[Details]:[Details]]=$B18)/(Table1[[#This Row],[Details]:[Details]]=$B18)*(ROW(Table1[[Details]:[Details]])-ROW(Table1[[#Headers],[Details]])),COLUMNS($C$10:BN17))),"")</f>
        <v/>
      </c>
      <c r="BO18" t="str">
        <f>IF(COLUMNS($C$10:BO17)&lt;=$A18,INDEX(Table1[[PARTICULAR]:[PARTICULAR]],_xlfn.AGGREGATE(15,3,(Table1[[#This Row],[Details]:[Details]]=$B18)/(Table1[[#This Row],[Details]:[Details]]=$B18)*(ROW(Table1[[Details]:[Details]])-ROW(Table1[[#Headers],[Details]])),COLUMNS($C$10:BO17))),"")</f>
        <v/>
      </c>
      <c r="BP18" t="str">
        <f>IF(COLUMNS($C$10:BP17)&lt;=$A18,INDEX(Table1[[PARTICULAR]:[PARTICULAR]],_xlfn.AGGREGATE(15,3,(Table1[[#This Row],[Details]:[Details]]=$B18)/(Table1[[#This Row],[Details]:[Details]]=$B18)*(ROW(Table1[[Details]:[Details]])-ROW(Table1[[#Headers],[Details]])),COLUMNS($C$10:BP17))),"")</f>
        <v/>
      </c>
      <c r="BQ18" t="str">
        <f>IF(COLUMNS($C$10:BQ17)&lt;=$A18,INDEX(Table1[[PARTICULAR]:[PARTICULAR]],_xlfn.AGGREGATE(15,3,(Table1[[#This Row],[Details]:[Details]]=$B18)/(Table1[[#This Row],[Details]:[Details]]=$B18)*(ROW(Table1[[Details]:[Details]])-ROW(Table1[[#Headers],[Details]])),COLUMNS($C$10:BQ17))),"")</f>
        <v/>
      </c>
      <c r="BR18" t="str">
        <f>IF(COLUMNS($C$10:BR17)&lt;=$A18,INDEX(Table1[[PARTICULAR]:[PARTICULAR]],_xlfn.AGGREGATE(15,3,(Table1[[#This Row],[Details]:[Details]]=$B18)/(Table1[[#This Row],[Details]:[Details]]=$B18)*(ROW(Table1[[Details]:[Details]])-ROW(Table1[[#Headers],[Details]])),COLUMNS($C$10:BR17))),"")</f>
        <v/>
      </c>
      <c r="BS18" t="str">
        <f>IF(COLUMNS($C$10:BS17)&lt;=$A18,INDEX(Table1[[PARTICULAR]:[PARTICULAR]],_xlfn.AGGREGATE(15,3,(Table1[[#This Row],[Details]:[Details]]=$B18)/(Table1[[#This Row],[Details]:[Details]]=$B18)*(ROW(Table1[[Details]:[Details]])-ROW(Table1[[#Headers],[Details]])),COLUMNS($C$10:BS17))),"")</f>
        <v/>
      </c>
      <c r="BT18" t="str">
        <f>IF(COLUMNS($C$10:BT17)&lt;=$A18,INDEX(Table1[[PARTICULAR]:[PARTICULAR]],_xlfn.AGGREGATE(15,3,(Table1[[#This Row],[Details]:[Details]]=$B18)/(Table1[[#This Row],[Details]:[Details]]=$B18)*(ROW(Table1[[Details]:[Details]])-ROW(Table1[[#Headers],[Details]])),COLUMNS($C$10:BT17))),"")</f>
        <v/>
      </c>
      <c r="BU18" t="str">
        <f>IF(COLUMNS($C$10:BU17)&lt;=$A18,INDEX(Table1[[PARTICULAR]:[PARTICULAR]],_xlfn.AGGREGATE(15,3,(Table1[[#This Row],[Details]:[Details]]=$B18)/(Table1[[#This Row],[Details]:[Details]]=$B18)*(ROW(Table1[[Details]:[Details]])-ROW(Table1[[#Headers],[Details]])),COLUMNS($C$10:BU17))),"")</f>
        <v/>
      </c>
      <c r="BV18" t="str">
        <f>IF(COLUMNS($C$10:BV17)&lt;=$A18,INDEX(Table1[[PARTICULAR]:[PARTICULAR]],_xlfn.AGGREGATE(15,3,(Table1[[#This Row],[Details]:[Details]]=$B18)/(Table1[[#This Row],[Details]:[Details]]=$B18)*(ROW(Table1[[Details]:[Details]])-ROW(Table1[[#Headers],[Details]])),COLUMNS($C$10:BV17))),"")</f>
        <v/>
      </c>
      <c r="BW18" t="str">
        <f>IF(COLUMNS($C$10:BW17)&lt;=$A18,INDEX(Table1[[PARTICULAR]:[PARTICULAR]],_xlfn.AGGREGATE(15,3,(Table1[[#This Row],[Details]:[Details]]=$B18)/(Table1[[#This Row],[Details]:[Details]]=$B18)*(ROW(Table1[[Details]:[Details]])-ROW(Table1[[#Headers],[Details]])),COLUMNS($C$10:BW17))),"")</f>
        <v/>
      </c>
      <c r="BX18" t="str">
        <f>IF(COLUMNS($C$10:BX17)&lt;=$A18,INDEX(Table1[[PARTICULAR]:[PARTICULAR]],_xlfn.AGGREGATE(15,3,(Table1[[#This Row],[Details]:[Details]]=$B18)/(Table1[[#This Row],[Details]:[Details]]=$B18)*(ROW(Table1[[Details]:[Details]])-ROW(Table1[[#Headers],[Details]])),COLUMNS($C$10:BX17))),"")</f>
        <v/>
      </c>
      <c r="BY18" t="str">
        <f>IF(COLUMNS($C$10:BY17)&lt;=$A18,INDEX(Table1[[PARTICULAR]:[PARTICULAR]],_xlfn.AGGREGATE(15,3,(Table1[[#This Row],[Details]:[Details]]=$B18)/(Table1[[#This Row],[Details]:[Details]]=$B18)*(ROW(Table1[[Details]:[Details]])-ROW(Table1[[#Headers],[Details]])),COLUMNS($C$10:BY17))),"")</f>
        <v/>
      </c>
      <c r="BZ18" t="str">
        <f>IF(COLUMNS($C$10:BZ17)&lt;=$A18,INDEX(Table1[[PARTICULAR]:[PARTICULAR]],_xlfn.AGGREGATE(15,3,(Table1[[#This Row],[Details]:[Details]]=$B18)/(Table1[[#This Row],[Details]:[Details]]=$B18)*(ROW(Table1[[Details]:[Details]])-ROW(Table1[[#Headers],[Details]])),COLUMNS($C$10:BZ17))),"")</f>
        <v/>
      </c>
      <c r="CA18" t="str">
        <f>IF(COLUMNS($C$10:CA17)&lt;=$A18,INDEX(Table1[[PARTICULAR]:[PARTICULAR]],_xlfn.AGGREGATE(15,3,(Table1[[#This Row],[Details]:[Details]]=$B18)/(Table1[[#This Row],[Details]:[Details]]=$B18)*(ROW(Table1[[Details]:[Details]])-ROW(Table1[[#Headers],[Details]])),COLUMNS($C$10:CA17))),"")</f>
        <v/>
      </c>
      <c r="CB18" t="str">
        <f>IF(COLUMNS($C$10:CB17)&lt;=$A18,INDEX(Table1[[PARTICULAR]:[PARTICULAR]],_xlfn.AGGREGATE(15,3,(Table1[[#This Row],[Details]:[Details]]=$B18)/(Table1[[#This Row],[Details]:[Details]]=$B18)*(ROW(Table1[[Details]:[Details]])-ROW(Table1[[#Headers],[Details]])),COLUMNS($C$10:CB17))),"")</f>
        <v/>
      </c>
    </row>
    <row r="19" spans="1:80">
      <c r="A19">
        <f>COUNTIF(Table1[Details],B19)</f>
        <v>33</v>
      </c>
      <c r="B19" s="97" t="str">
        <f>IFERROR(INDEX(Table1[Details],MATCH(0,INDEX(COUNTIF($B$10:B18,Table1[Details]),),0)),"")</f>
        <v>Light/Festive</v>
      </c>
      <c r="C19" t="str">
        <f>IF(COLUMNS($C$10:C18)&lt;=$A19,INDEX(Table1[[PARTICULAR]:[PARTICULAR]],_xlfn.AGGREGATE(15,3,(Table1[[#This Row],[Details]:[Details]]=$B19)/(Table1[[#This Row],[Details]:[Details]]=$B19)*(ROW(Table1[[Details]:[Details]])-ROW(Table1[[#Headers],[Details]])),COLUMNS($C$10:C18))),"")</f>
        <v>TUBELIGHT,CHOWK &amp; WIRING</v>
      </c>
      <c r="D19" t="str">
        <f>IF(COLUMNS($C$10:D18)&lt;=$A19,INDEX(Table1[[PARTICULAR]:[PARTICULAR]],_xlfn.AGGREGATE(15,3,(Table1[[#This Row],[Details]:[Details]]=$B19)/(Table1[[#This Row],[Details]:[Details]]=$B19)*(ROW(Table1[[Details]:[Details]])-ROW(Table1[[#Headers],[Details]])),COLUMNS($C$10:D18))),"")</f>
        <v>1.2mm Rope Wire</v>
      </c>
      <c r="E19" t="str">
        <f>IF(COLUMNS($C$10:E18)&lt;=$A19,INDEX(Table1[[PARTICULAR]:[PARTICULAR]],_xlfn.AGGREGATE(15,3,(Table1[[#This Row],[Details]:[Details]]=$B19)/(Table1[[#This Row],[Details]:[Details]]=$B19)*(ROW(Table1[[Details]:[Details]])-ROW(Table1[[#Headers],[Details]])),COLUMNS($C$10:E18))),"")</f>
        <v>250W LED Drivers</v>
      </c>
      <c r="F19" t="str">
        <f>IF(COLUMNS($C$10:F18)&lt;=$A19,INDEX(Table1[[PARTICULAR]:[PARTICULAR]],_xlfn.AGGREGATE(15,3,(Table1[[#This Row],[Details]:[Details]]=$B19)/(Table1[[#This Row],[Details]:[Details]]=$B19)*(ROW(Table1[[Details]:[Details]])-ROW(Table1[[#Headers],[Details]])),COLUMNS($C$10:F18))),"")</f>
        <v>Aluminium Profile Fabric LIT Box</v>
      </c>
      <c r="G19" t="str">
        <f>IF(COLUMNS($C$10:G18)&lt;=$A19,INDEX(Table1[[PARTICULAR]:[PARTICULAR]],_xlfn.AGGREGATE(15,3,(Table1[[#This Row],[Details]:[Details]]=$B19)/(Table1[[#This Row],[Details]:[Details]]=$B19)*(ROW(Table1[[Details]:[Details]])-ROW(Table1[[#Headers],[Details]])),COLUMNS($C$10:G18))),"")</f>
        <v>Arch Gate MS HB</v>
      </c>
      <c r="H19" t="str">
        <f>IF(COLUMNS($C$10:H18)&lt;=$A19,INDEX(Table1[[PARTICULAR]:[PARTICULAR]],_xlfn.AGGREGATE(15,3,(Table1[[#This Row],[Details]:[Details]]=$B19)/(Table1[[#This Row],[Details]:[Details]]=$B19)*(ROW(Table1[[Details]:[Details]])-ROW(Table1[[#Headers],[Details]])),COLUMNS($C$10:H18))),"")</f>
        <v>Arch Gate MS LB</v>
      </c>
      <c r="I19" t="str">
        <f>IF(COLUMNS($C$10:I18)&lt;=$A19,INDEX(Table1[[PARTICULAR]:[PARTICULAR]],_xlfn.AGGREGATE(15,3,(Table1[[#This Row],[Details]:[Details]]=$B19)/(Table1[[#This Row],[Details]:[Details]]=$B19)*(ROW(Table1[[Details]:[Details]])-ROW(Table1[[#Headers],[Details]])),COLUMNS($C$10:I18))),"")</f>
        <v>Arch Gate MS MB</v>
      </c>
      <c r="J19" t="str">
        <f>IF(COLUMNS($C$10:J18)&lt;=$A19,INDEX(Table1[[PARTICULAR]:[PARTICULAR]],_xlfn.AGGREGATE(15,3,(Table1[[#This Row],[Details]:[Details]]=$B19)/(Table1[[#This Row],[Details]:[Details]]=$B19)*(ROW(Table1[[Details]:[Details]])-ROW(Table1[[#Headers],[Details]])),COLUMNS($C$10:J18))),"")</f>
        <v>Dangler 3F</v>
      </c>
      <c r="K19" t="str">
        <f>IF(COLUMNS($C$10:K18)&lt;=$A19,INDEX(Table1[[PARTICULAR]:[PARTICULAR]],_xlfn.AGGREGATE(15,3,(Table1[[#This Row],[Details]:[Details]]=$B19)/(Table1[[#This Row],[Details]:[Details]]=$B19)*(ROW(Table1[[Details]:[Details]])-ROW(Table1[[#Headers],[Details]])),COLUMNS($C$10:K18))),"")</f>
        <v>Dangler 4F</v>
      </c>
      <c r="L19" t="str">
        <f>IF(COLUMNS($C$10:L18)&lt;=$A19,INDEX(Table1[[PARTICULAR]:[PARTICULAR]],_xlfn.AGGREGATE(15,3,(Table1[[#This Row],[Details]:[Details]]=$B19)/(Table1[[#This Row],[Details]:[Details]]=$B19)*(ROW(Table1[[Details]:[Details]])-ROW(Table1[[#Headers],[Details]])),COLUMNS($C$10:L18))),"")</f>
        <v>Danglers 2.5F</v>
      </c>
      <c r="M19" t="str">
        <f>IF(COLUMNS($C$10:M18)&lt;=$A19,INDEX(Table1[[PARTICULAR]:[PARTICULAR]],_xlfn.AGGREGATE(15,3,(Table1[[#This Row],[Details]:[Details]]=$B19)/(Table1[[#This Row],[Details]:[Details]]=$B19)*(ROW(Table1[[Details]:[Details]])-ROW(Table1[[#Headers],[Details]])),COLUMNS($C$10:M18))),"")</f>
        <v>Danglers 2F</v>
      </c>
      <c r="N19" t="str">
        <f>IF(COLUMNS($C$10:N18)&lt;=$A19,INDEX(Table1[[PARTICULAR]:[PARTICULAR]],_xlfn.AGGREGATE(15,3,(Table1[[#This Row],[Details]:[Details]]=$B19)/(Table1[[#This Row],[Details]:[Details]]=$B19)*(ROW(Table1[[Details]:[Details]])-ROW(Table1[[#Headers],[Details]])),COLUMNS($C$10:N18))),"")</f>
        <v>Danglers 30X15 (Half Dangler)</v>
      </c>
      <c r="O19" t="str">
        <f>IF(COLUMNS($C$10:O18)&lt;=$A19,INDEX(Table1[[PARTICULAR]:[PARTICULAR]],_xlfn.AGGREGATE(15,3,(Table1[[#This Row],[Details]:[Details]]=$B19)/(Table1[[#This Row],[Details]:[Details]]=$B19)*(ROW(Table1[[Details]:[Details]])-ROW(Table1[[#Headers],[Details]])),COLUMNS($C$10:O18))),"")</f>
        <v>Facade AnimateLight</v>
      </c>
      <c r="P19" t="str">
        <f>IF(COLUMNS($C$10:P18)&lt;=$A19,INDEX(Table1[[PARTICULAR]:[PARTICULAR]],_xlfn.AGGREGATE(15,3,(Table1[[#This Row],[Details]:[Details]]=$B19)/(Table1[[#This Row],[Details]:[Details]]=$B19)*(ROW(Table1[[Details]:[Details]])-ROW(Table1[[#Headers],[Details]])),COLUMNS($C$10:P18))),"")</f>
        <v>Facade Contour Light</v>
      </c>
      <c r="Q19" t="str">
        <f>IF(COLUMNS($C$10:Q18)&lt;=$A19,INDEX(Table1[[PARTICULAR]:[PARTICULAR]],_xlfn.AGGREGATE(15,3,(Table1[[#This Row],[Details]:[Details]]=$B19)/(Table1[[#This Row],[Details]:[Details]]=$B19)*(ROW(Table1[[Details]:[Details]])-ROW(Table1[[#Headers],[Details]])),COLUMNS($C$10:Q18))),"")</f>
        <v>Facade Festive Lights</v>
      </c>
      <c r="R19" t="str">
        <f>IF(COLUMNS($C$10:R18)&lt;=$A19,INDEX(Table1[[PARTICULAR]:[PARTICULAR]],_xlfn.AGGREGATE(15,3,(Table1[[#This Row],[Details]:[Details]]=$B19)/(Table1[[#This Row],[Details]:[Details]]=$B19)*(ROW(Table1[[Details]:[Details]])-ROW(Table1[[#Headers],[Details]])),COLUMNS($C$10:R18))),"")</f>
        <v>GWP Stand BHB</v>
      </c>
      <c r="S19" t="str">
        <f>IF(COLUMNS($C$10:S18)&lt;=$A19,INDEX(Table1[[PARTICULAR]:[PARTICULAR]],_xlfn.AGGREGATE(15,3,(Table1[[#This Row],[Details]:[Details]]=$B19)/(Table1[[#This Row],[Details]:[Details]]=$B19)*(ROW(Table1[[Details]:[Details]])-ROW(Table1[[#Headers],[Details]])),COLUMNS($C$10:S18))),"")</f>
        <v>GWP Stand BLB</v>
      </c>
      <c r="T19" t="str">
        <f>IF(COLUMNS($C$10:T18)&lt;=$A19,INDEX(Table1[[PARTICULAR]:[PARTICULAR]],_xlfn.AGGREGATE(15,3,(Table1[[#This Row],[Details]:[Details]]=$B19)/(Table1[[#This Row],[Details]:[Details]]=$B19)*(ROW(Table1[[Details]:[Details]])-ROW(Table1[[#Headers],[Details]])),COLUMNS($C$10:T18))),"")</f>
        <v>GWP Stand SHB</v>
      </c>
      <c r="U19" t="str">
        <f>IF(COLUMNS($C$10:U18)&lt;=$A19,INDEX(Table1[[PARTICULAR]:[PARTICULAR]],_xlfn.AGGREGATE(15,3,(Table1[[#This Row],[Details]:[Details]]=$B19)/(Table1[[#This Row],[Details]:[Details]]=$B19)*(ROW(Table1[[Details]:[Details]])-ROW(Table1[[#Headers],[Details]])),COLUMNS($C$10:U18))),"")</f>
        <v>GWP Stand SLB</v>
      </c>
      <c r="V19" t="str">
        <f>IF(COLUMNS($C$10:V18)&lt;=$A19,INDEX(Table1[[PARTICULAR]:[PARTICULAR]],_xlfn.AGGREGATE(15,3,(Table1[[#This Row],[Details]:[Details]]=$B19)/(Table1[[#This Row],[Details]:[Details]]=$B19)*(ROW(Table1[[Details]:[Details]])-ROW(Table1[[#Headers],[Details]])),COLUMNS($C$10:V18))),"")</f>
        <v>High Quality LED</v>
      </c>
      <c r="W19" t="str">
        <f>IF(COLUMNS($C$10:W18)&lt;=$A19,INDEX(Table1[[PARTICULAR]:[PARTICULAR]],_xlfn.AGGREGATE(15,3,(Table1[[#This Row],[Details]:[Details]]=$B19)/(Table1[[#This Row],[Details]:[Details]]=$B19)*(ROW(Table1[[Details]:[Details]])-ROW(Table1[[#Headers],[Details]])),COLUMNS($C$10:W18))),"")</f>
        <v>HOLOGRAM DISPLAY42cm </v>
      </c>
      <c r="X19" t="str">
        <f>IF(COLUMNS($C$10:X18)&lt;=$A19,INDEX(Table1[[PARTICULAR]:[PARTICULAR]],_xlfn.AGGREGATE(15,3,(Table1[[#This Row],[Details]:[Details]]=$B19)/(Table1[[#This Row],[Details]:[Details]]=$B19)*(ROW(Table1[[Details]:[Details]])-ROW(Table1[[#Headers],[Details]])),COLUMNS($C$10:X18))),"")</f>
        <v>INSTAGRAMABLE SPOT</v>
      </c>
      <c r="Y19" t="str">
        <f>IF(COLUMNS($C$10:Y18)&lt;=$A19,INDEX(Table1[[PARTICULAR]:[PARTICULAR]],_xlfn.AGGREGATE(15,3,(Table1[[#This Row],[Details]:[Details]]=$B19)/(Table1[[#This Row],[Details]:[Details]]=$B19)*(ROW(Table1[[Details]:[Details]])-ROW(Table1[[#Headers],[Details]])),COLUMNS($C$10:Y18))),"")</f>
        <v>Instore contour light</v>
      </c>
      <c r="Z19" t="str">
        <f>IF(COLUMNS($C$10:Z18)&lt;=$A19,INDEX(Table1[[PARTICULAR]:[PARTICULAR]],_xlfn.AGGREGATE(15,3,(Table1[[#This Row],[Details]:[Details]]=$B19)/(Table1[[#This Row],[Details]:[Details]]=$B19)*(ROW(Table1[[Details]:[Details]])-ROW(Table1[[#Headers],[Details]])),COLUMNS($C$10:Z18))),"")</f>
        <v>LED Driver </v>
      </c>
      <c r="AA19" t="str">
        <f>IF(COLUMNS($C$10:AA18)&lt;=$A19,INDEX(Table1[[PARTICULAR]:[PARTICULAR]],_xlfn.AGGREGATE(15,3,(Table1[[#This Row],[Details]:[Details]]=$B19)/(Table1[[#This Row],[Details]:[Details]]=$B19)*(ROW(Table1[[Details]:[Details]])-ROW(Table1[[#Headers],[Details]])),COLUMNS($C$10:AA18))),"")</f>
        <v>LED Strip 5050-60LED-NVC</v>
      </c>
      <c r="AB19" t="str">
        <f>IF(COLUMNS($C$10:AB18)&lt;=$A19,INDEX(Table1[[PARTICULAR]:[PARTICULAR]],_xlfn.AGGREGATE(15,3,(Table1[[#This Row],[Details]:[Details]]=$B19)/(Table1[[#This Row],[Details]:[Details]]=$B19)*(ROW(Table1[[Details]:[Details]])-ROW(Table1[[#Headers],[Details]])),COLUMNS($C$10:AB18))),"")</f>
        <v>Mesh Stambh</v>
      </c>
      <c r="AC19" t="str">
        <f>IF(COLUMNS($C$10:AC18)&lt;=$A19,INDEX(Table1[[PARTICULAR]:[PARTICULAR]],_xlfn.AGGREGATE(15,3,(Table1[[#This Row],[Details]:[Details]]=$B19)/(Table1[[#This Row],[Details]:[Details]]=$B19)*(ROW(Table1[[Details]:[Details]])-ROW(Table1[[#Headers],[Details]])),COLUMNS($C$10:AC18))),"")</f>
        <v>Mirchi Lights for Decorations</v>
      </c>
      <c r="AD19" t="str">
        <f>IF(COLUMNS($C$10:AD18)&lt;=$A19,INDEX(Table1[[PARTICULAR]:[PARTICULAR]],_xlfn.AGGREGATE(15,3,(Table1[[#This Row],[Details]:[Details]]=$B19)/(Table1[[#This Row],[Details]:[Details]]=$B19)*(ROW(Table1[[Details]:[Details]])-ROW(Table1[[#Headers],[Details]])),COLUMNS($C$10:AD18))),"")</f>
        <v>Spa-Controller</v>
      </c>
      <c r="AE19" t="str">
        <f>IF(COLUMNS($C$10:AE18)&lt;=$A19,INDEX(Table1[[PARTICULAR]:[PARTICULAR]],_xlfn.AGGREGATE(15,3,(Table1[[#This Row],[Details]:[Details]]=$B19)/(Table1[[#This Row],[Details]:[Details]]=$B19)*(ROW(Table1[[Details]:[Details]])-ROW(Table1[[#Headers],[Details]])),COLUMNS($C$10:AE18))),"")</f>
        <v>STAMBH</v>
      </c>
      <c r="AF19" t="str">
        <f>IF(COLUMNS($C$10:AF18)&lt;=$A19,INDEX(Table1[[PARTICULAR]:[PARTICULAR]],_xlfn.AGGREGATE(15,3,(Table1[[#This Row],[Details]:[Details]]=$B19)/(Table1[[#This Row],[Details]:[Details]]=$B19)*(ROW(Table1[[Details]:[Details]])-ROW(Table1[[#Headers],[Details]])),COLUMNS($C$10:AF18))),"")</f>
        <v>Sunboard Stambh</v>
      </c>
      <c r="AG19" t="str">
        <f>IF(COLUMNS($C$10:AG18)&lt;=$A19,INDEX(Table1[[PARTICULAR]:[PARTICULAR]],_xlfn.AGGREGATE(15,3,(Table1[[#This Row],[Details]:[Details]]=$B19)/(Table1[[#This Row],[Details]:[Details]]=$B19)*(ROW(Table1[[Details]:[Details]])-ROW(Table1[[#Headers],[Details]])),COLUMNS($C$10:AG18))),"")</f>
        <v>Window Props HB</v>
      </c>
      <c r="AH19" t="str">
        <f>IF(COLUMNS($C$10:AH18)&lt;=$A19,INDEX(Table1[[PARTICULAR]:[PARTICULAR]],_xlfn.AGGREGATE(15,3,(Table1[[#This Row],[Details]:[Details]]=$B19)/(Table1[[#This Row],[Details]:[Details]]=$B19)*(ROW(Table1[[Details]:[Details]])-ROW(Table1[[#Headers],[Details]])),COLUMNS($C$10:AH18))),"")</f>
        <v>Window Props LB</v>
      </c>
      <c r="AI19" t="str">
        <f>IF(COLUMNS($C$10:AI18)&lt;=$A19,INDEX(Table1[[PARTICULAR]:[PARTICULAR]],_xlfn.AGGREGATE(15,3,(Table1[[#This Row],[Details]:[Details]]=$B19)/(Table1[[#This Row],[Details]:[Details]]=$B19)*(ROW(Table1[[Details]:[Details]])-ROW(Table1[[#Headers],[Details]])),COLUMNS($C$10:AI18))),"")</f>
        <v>WINDOW PROPS MB</v>
      </c>
      <c r="AJ19" t="str">
        <f>IF(COLUMNS($C$10:AJ18)&lt;=$A19,INDEX(Table1[[PARTICULAR]:[PARTICULAR]],_xlfn.AGGREGATE(15,3,(Table1[[#This Row],[Details]:[Details]]=$B19)/(Table1[[#This Row],[Details]:[Details]]=$B19)*(ROW(Table1[[Details]:[Details]])-ROW(Table1[[#Headers],[Details]])),COLUMNS($C$10:AJ18))),"")</f>
        <v/>
      </c>
      <c r="AK19" t="str">
        <f>IF(COLUMNS($C$10:AK18)&lt;=$A19,INDEX(Table1[[PARTICULAR]:[PARTICULAR]],_xlfn.AGGREGATE(15,3,(Table1[[#This Row],[Details]:[Details]]=$B19)/(Table1[[#This Row],[Details]:[Details]]=$B19)*(ROW(Table1[[Details]:[Details]])-ROW(Table1[[#Headers],[Details]])),COLUMNS($C$10:AK18))),"")</f>
        <v/>
      </c>
      <c r="AL19" t="str">
        <f>IF(COLUMNS($C$10:AL18)&lt;=$A19,INDEX(Table1[[PARTICULAR]:[PARTICULAR]],_xlfn.AGGREGATE(15,3,(Table1[[#This Row],[Details]:[Details]]=$B19)/(Table1[[#This Row],[Details]:[Details]]=$B19)*(ROW(Table1[[Details]:[Details]])-ROW(Table1[[#Headers],[Details]])),COLUMNS($C$10:AL18))),"")</f>
        <v/>
      </c>
      <c r="AM19" t="str">
        <f>IF(COLUMNS($C$10:AM18)&lt;=$A19,INDEX(Table1[[PARTICULAR]:[PARTICULAR]],_xlfn.AGGREGATE(15,3,(Table1[[#This Row],[Details]:[Details]]=$B19)/(Table1[[#This Row],[Details]:[Details]]=$B19)*(ROW(Table1[[Details]:[Details]])-ROW(Table1[[#Headers],[Details]])),COLUMNS($C$10:AM18))),"")</f>
        <v/>
      </c>
      <c r="AN19" t="str">
        <f>IF(COLUMNS($C$10:AN18)&lt;=$A19,INDEX(Table1[[PARTICULAR]:[PARTICULAR]],_xlfn.AGGREGATE(15,3,(Table1[[#This Row],[Details]:[Details]]=$B19)/(Table1[[#This Row],[Details]:[Details]]=$B19)*(ROW(Table1[[Details]:[Details]])-ROW(Table1[[#Headers],[Details]])),COLUMNS($C$10:AN18))),"")</f>
        <v/>
      </c>
      <c r="AO19" t="str">
        <f>IF(COLUMNS($C$10:AO18)&lt;=$A19,INDEX(Table1[[PARTICULAR]:[PARTICULAR]],_xlfn.AGGREGATE(15,3,(Table1[[#This Row],[Details]:[Details]]=$B19)/(Table1[[#This Row],[Details]:[Details]]=$B19)*(ROW(Table1[[Details]:[Details]])-ROW(Table1[[#Headers],[Details]])),COLUMNS($C$10:AO18))),"")</f>
        <v/>
      </c>
      <c r="AP19" t="str">
        <f>IF(COLUMNS($C$10:AP18)&lt;=$A19,INDEX(Table1[[PARTICULAR]:[PARTICULAR]],_xlfn.AGGREGATE(15,3,(Table1[[#This Row],[Details]:[Details]]=$B19)/(Table1[[#This Row],[Details]:[Details]]=$B19)*(ROW(Table1[[Details]:[Details]])-ROW(Table1[[#Headers],[Details]])),COLUMNS($C$10:AP18))),"")</f>
        <v/>
      </c>
      <c r="AQ19" t="str">
        <f>IF(COLUMNS($C$10:AQ18)&lt;=$A19,INDEX(Table1[[PARTICULAR]:[PARTICULAR]],_xlfn.AGGREGATE(15,3,(Table1[[#This Row],[Details]:[Details]]=$B19)/(Table1[[#This Row],[Details]:[Details]]=$B19)*(ROW(Table1[[Details]:[Details]])-ROW(Table1[[#Headers],[Details]])),COLUMNS($C$10:AQ18))),"")</f>
        <v/>
      </c>
      <c r="AR19" t="str">
        <f>IF(COLUMNS($C$10:AR18)&lt;=$A19,INDEX(Table1[[PARTICULAR]:[PARTICULAR]],_xlfn.AGGREGATE(15,3,(Table1[[#This Row],[Details]:[Details]]=$B19)/(Table1[[#This Row],[Details]:[Details]]=$B19)*(ROW(Table1[[Details]:[Details]])-ROW(Table1[[#Headers],[Details]])),COLUMNS($C$10:AR18))),"")</f>
        <v/>
      </c>
      <c r="AS19" t="str">
        <f>IF(COLUMNS($C$10:AS18)&lt;=$A19,INDEX(Table1[[PARTICULAR]:[PARTICULAR]],_xlfn.AGGREGATE(15,3,(Table1[[#This Row],[Details]:[Details]]=$B19)/(Table1[[#This Row],[Details]:[Details]]=$B19)*(ROW(Table1[[Details]:[Details]])-ROW(Table1[[#Headers],[Details]])),COLUMNS($C$10:AS18))),"")</f>
        <v/>
      </c>
      <c r="AT19" t="str">
        <f>IF(COLUMNS($C$10:AT18)&lt;=$A19,INDEX(Table1[[PARTICULAR]:[PARTICULAR]],_xlfn.AGGREGATE(15,3,(Table1[[#This Row],[Details]:[Details]]=$B19)/(Table1[[#This Row],[Details]:[Details]]=$B19)*(ROW(Table1[[Details]:[Details]])-ROW(Table1[[#Headers],[Details]])),COLUMNS($C$10:AT18))),"")</f>
        <v/>
      </c>
      <c r="AU19" t="str">
        <f>IF(COLUMNS($C$10:AU18)&lt;=$A19,INDEX(Table1[[PARTICULAR]:[PARTICULAR]],_xlfn.AGGREGATE(15,3,(Table1[[#This Row],[Details]:[Details]]=$B19)/(Table1[[#This Row],[Details]:[Details]]=$B19)*(ROW(Table1[[Details]:[Details]])-ROW(Table1[[#Headers],[Details]])),COLUMNS($C$10:AU18))),"")</f>
        <v/>
      </c>
      <c r="AV19" t="str">
        <f>IF(COLUMNS($C$10:AV18)&lt;=$A19,INDEX(Table1[[PARTICULAR]:[PARTICULAR]],_xlfn.AGGREGATE(15,3,(Table1[[#This Row],[Details]:[Details]]=$B19)/(Table1[[#This Row],[Details]:[Details]]=$B19)*(ROW(Table1[[Details]:[Details]])-ROW(Table1[[#Headers],[Details]])),COLUMNS($C$10:AV18))),"")</f>
        <v/>
      </c>
      <c r="AW19" t="str">
        <f>IF(COLUMNS($C$10:AW18)&lt;=$A19,INDEX(Table1[[PARTICULAR]:[PARTICULAR]],_xlfn.AGGREGATE(15,3,(Table1[[#This Row],[Details]:[Details]]=$B19)/(Table1[[#This Row],[Details]:[Details]]=$B19)*(ROW(Table1[[Details]:[Details]])-ROW(Table1[[#Headers],[Details]])),COLUMNS($C$10:AW18))),"")</f>
        <v/>
      </c>
      <c r="AX19" t="str">
        <f>IF(COLUMNS($C$10:AX18)&lt;=$A19,INDEX(Table1[[PARTICULAR]:[PARTICULAR]],_xlfn.AGGREGATE(15,3,(Table1[[#This Row],[Details]:[Details]]=$B19)/(Table1[[#This Row],[Details]:[Details]]=$B19)*(ROW(Table1[[Details]:[Details]])-ROW(Table1[[#Headers],[Details]])),COLUMNS($C$10:AX18))),"")</f>
        <v/>
      </c>
      <c r="AY19" t="str">
        <f>IF(COLUMNS($C$10:AY18)&lt;=$A19,INDEX(Table1[[PARTICULAR]:[PARTICULAR]],_xlfn.AGGREGATE(15,3,(Table1[[#This Row],[Details]:[Details]]=$B19)/(Table1[[#This Row],[Details]:[Details]]=$B19)*(ROW(Table1[[Details]:[Details]])-ROW(Table1[[#Headers],[Details]])),COLUMNS($C$10:AY18))),"")</f>
        <v/>
      </c>
      <c r="AZ19" t="str">
        <f>IF(COLUMNS($C$10:AZ18)&lt;=$A19,INDEX(Table1[[PARTICULAR]:[PARTICULAR]],_xlfn.AGGREGATE(15,3,(Table1[[#This Row],[Details]:[Details]]=$B19)/(Table1[[#This Row],[Details]:[Details]]=$B19)*(ROW(Table1[[Details]:[Details]])-ROW(Table1[[#Headers],[Details]])),COLUMNS($C$10:AZ18))),"")</f>
        <v/>
      </c>
      <c r="BA19" t="str">
        <f>IF(COLUMNS($C$10:BA18)&lt;=$A19,INDEX(Table1[[PARTICULAR]:[PARTICULAR]],_xlfn.AGGREGATE(15,3,(Table1[[#This Row],[Details]:[Details]]=$B19)/(Table1[[#This Row],[Details]:[Details]]=$B19)*(ROW(Table1[[Details]:[Details]])-ROW(Table1[[#Headers],[Details]])),COLUMNS($C$10:BA18))),"")</f>
        <v/>
      </c>
      <c r="BB19" t="str">
        <f>IF(COLUMNS($C$10:BB18)&lt;=$A19,INDEX(Table1[[PARTICULAR]:[PARTICULAR]],_xlfn.AGGREGATE(15,3,(Table1[[#This Row],[Details]:[Details]]=$B19)/(Table1[[#This Row],[Details]:[Details]]=$B19)*(ROW(Table1[[Details]:[Details]])-ROW(Table1[[#Headers],[Details]])),COLUMNS($C$10:BB18))),"")</f>
        <v/>
      </c>
      <c r="BC19" t="str">
        <f>IF(COLUMNS($C$10:BC18)&lt;=$A19,INDEX(Table1[[PARTICULAR]:[PARTICULAR]],_xlfn.AGGREGATE(15,3,(Table1[[#This Row],[Details]:[Details]]=$B19)/(Table1[[#This Row],[Details]:[Details]]=$B19)*(ROW(Table1[[Details]:[Details]])-ROW(Table1[[#Headers],[Details]])),COLUMNS($C$10:BC18))),"")</f>
        <v/>
      </c>
      <c r="BD19" t="str">
        <f>IF(COLUMNS($C$10:BD18)&lt;=$A19,INDEX(Table1[[PARTICULAR]:[PARTICULAR]],_xlfn.AGGREGATE(15,3,(Table1[[#This Row],[Details]:[Details]]=$B19)/(Table1[[#This Row],[Details]:[Details]]=$B19)*(ROW(Table1[[Details]:[Details]])-ROW(Table1[[#Headers],[Details]])),COLUMNS($C$10:BD18))),"")</f>
        <v/>
      </c>
      <c r="BE19" t="str">
        <f>IF(COLUMNS($C$10:BE18)&lt;=$A19,INDEX(Table1[[PARTICULAR]:[PARTICULAR]],_xlfn.AGGREGATE(15,3,(Table1[[#This Row],[Details]:[Details]]=$B19)/(Table1[[#This Row],[Details]:[Details]]=$B19)*(ROW(Table1[[Details]:[Details]])-ROW(Table1[[#Headers],[Details]])),COLUMNS($C$10:BE18))),"")</f>
        <v/>
      </c>
      <c r="BF19" t="str">
        <f>IF(COLUMNS($C$10:BF18)&lt;=$A19,INDEX(Table1[[PARTICULAR]:[PARTICULAR]],_xlfn.AGGREGATE(15,3,(Table1[[#This Row],[Details]:[Details]]=$B19)/(Table1[[#This Row],[Details]:[Details]]=$B19)*(ROW(Table1[[Details]:[Details]])-ROW(Table1[[#Headers],[Details]])),COLUMNS($C$10:BF18))),"")</f>
        <v/>
      </c>
      <c r="BG19" t="str">
        <f>IF(COLUMNS($C$10:BG18)&lt;=$A19,INDEX(Table1[[PARTICULAR]:[PARTICULAR]],_xlfn.AGGREGATE(15,3,(Table1[[#This Row],[Details]:[Details]]=$B19)/(Table1[[#This Row],[Details]:[Details]]=$B19)*(ROW(Table1[[Details]:[Details]])-ROW(Table1[[#Headers],[Details]])),COLUMNS($C$10:BG18))),"")</f>
        <v/>
      </c>
      <c r="BH19" t="str">
        <f>IF(COLUMNS($C$10:BH18)&lt;=$A19,INDEX(Table1[[PARTICULAR]:[PARTICULAR]],_xlfn.AGGREGATE(15,3,(Table1[[#This Row],[Details]:[Details]]=$B19)/(Table1[[#This Row],[Details]:[Details]]=$B19)*(ROW(Table1[[Details]:[Details]])-ROW(Table1[[#Headers],[Details]])),COLUMNS($C$10:BH18))),"")</f>
        <v/>
      </c>
      <c r="BI19" t="str">
        <f>IF(COLUMNS($C$10:BI18)&lt;=$A19,INDEX(Table1[[PARTICULAR]:[PARTICULAR]],_xlfn.AGGREGATE(15,3,(Table1[[#This Row],[Details]:[Details]]=$B19)/(Table1[[#This Row],[Details]:[Details]]=$B19)*(ROW(Table1[[Details]:[Details]])-ROW(Table1[[#Headers],[Details]])),COLUMNS($C$10:BI18))),"")</f>
        <v/>
      </c>
      <c r="BJ19" t="str">
        <f>IF(COLUMNS($C$10:BJ18)&lt;=$A19,INDEX(Table1[[PARTICULAR]:[PARTICULAR]],_xlfn.AGGREGATE(15,3,(Table1[[#This Row],[Details]:[Details]]=$B19)/(Table1[[#This Row],[Details]:[Details]]=$B19)*(ROW(Table1[[Details]:[Details]])-ROW(Table1[[#Headers],[Details]])),COLUMNS($C$10:BJ18))),"")</f>
        <v/>
      </c>
      <c r="BK19" t="str">
        <f>IF(COLUMNS($C$10:BK18)&lt;=$A19,INDEX(Table1[[PARTICULAR]:[PARTICULAR]],_xlfn.AGGREGATE(15,3,(Table1[[#This Row],[Details]:[Details]]=$B19)/(Table1[[#This Row],[Details]:[Details]]=$B19)*(ROW(Table1[[Details]:[Details]])-ROW(Table1[[#Headers],[Details]])),COLUMNS($C$10:BK18))),"")</f>
        <v/>
      </c>
      <c r="BL19" t="str">
        <f>IF(COLUMNS($C$10:BL18)&lt;=$A19,INDEX(Table1[[PARTICULAR]:[PARTICULAR]],_xlfn.AGGREGATE(15,3,(Table1[[#This Row],[Details]:[Details]]=$B19)/(Table1[[#This Row],[Details]:[Details]]=$B19)*(ROW(Table1[[Details]:[Details]])-ROW(Table1[[#Headers],[Details]])),COLUMNS($C$10:BL18))),"")</f>
        <v/>
      </c>
      <c r="BM19" t="str">
        <f>IF(COLUMNS($C$10:BM18)&lt;=$A19,INDEX(Table1[[PARTICULAR]:[PARTICULAR]],_xlfn.AGGREGATE(15,3,(Table1[[#This Row],[Details]:[Details]]=$B19)/(Table1[[#This Row],[Details]:[Details]]=$B19)*(ROW(Table1[[Details]:[Details]])-ROW(Table1[[#Headers],[Details]])),COLUMNS($C$10:BM18))),"")</f>
        <v/>
      </c>
      <c r="BN19" t="str">
        <f>IF(COLUMNS($C$10:BN18)&lt;=$A19,INDEX(Table1[[PARTICULAR]:[PARTICULAR]],_xlfn.AGGREGATE(15,3,(Table1[[#This Row],[Details]:[Details]]=$B19)/(Table1[[#This Row],[Details]:[Details]]=$B19)*(ROW(Table1[[Details]:[Details]])-ROW(Table1[[#Headers],[Details]])),COLUMNS($C$10:BN18))),"")</f>
        <v/>
      </c>
      <c r="BO19" t="str">
        <f>IF(COLUMNS($C$10:BO18)&lt;=$A19,INDEX(Table1[[PARTICULAR]:[PARTICULAR]],_xlfn.AGGREGATE(15,3,(Table1[[#This Row],[Details]:[Details]]=$B19)/(Table1[[#This Row],[Details]:[Details]]=$B19)*(ROW(Table1[[Details]:[Details]])-ROW(Table1[[#Headers],[Details]])),COLUMNS($C$10:BO18))),"")</f>
        <v/>
      </c>
      <c r="BP19" t="str">
        <f>IF(COLUMNS($C$10:BP18)&lt;=$A19,INDEX(Table1[[PARTICULAR]:[PARTICULAR]],_xlfn.AGGREGATE(15,3,(Table1[[#This Row],[Details]:[Details]]=$B19)/(Table1[[#This Row],[Details]:[Details]]=$B19)*(ROW(Table1[[Details]:[Details]])-ROW(Table1[[#Headers],[Details]])),COLUMNS($C$10:BP18))),"")</f>
        <v/>
      </c>
      <c r="BQ19" t="str">
        <f>IF(COLUMNS($C$10:BQ18)&lt;=$A19,INDEX(Table1[[PARTICULAR]:[PARTICULAR]],_xlfn.AGGREGATE(15,3,(Table1[[#This Row],[Details]:[Details]]=$B19)/(Table1[[#This Row],[Details]:[Details]]=$B19)*(ROW(Table1[[Details]:[Details]])-ROW(Table1[[#Headers],[Details]])),COLUMNS($C$10:BQ18))),"")</f>
        <v/>
      </c>
      <c r="BR19" t="str">
        <f>IF(COLUMNS($C$10:BR18)&lt;=$A19,INDEX(Table1[[PARTICULAR]:[PARTICULAR]],_xlfn.AGGREGATE(15,3,(Table1[[#This Row],[Details]:[Details]]=$B19)/(Table1[[#This Row],[Details]:[Details]]=$B19)*(ROW(Table1[[Details]:[Details]])-ROW(Table1[[#Headers],[Details]])),COLUMNS($C$10:BR18))),"")</f>
        <v/>
      </c>
      <c r="BS19" t="str">
        <f>IF(COLUMNS($C$10:BS18)&lt;=$A19,INDEX(Table1[[PARTICULAR]:[PARTICULAR]],_xlfn.AGGREGATE(15,3,(Table1[[#This Row],[Details]:[Details]]=$B19)/(Table1[[#This Row],[Details]:[Details]]=$B19)*(ROW(Table1[[Details]:[Details]])-ROW(Table1[[#Headers],[Details]])),COLUMNS($C$10:BS18))),"")</f>
        <v/>
      </c>
      <c r="BT19" t="str">
        <f>IF(COLUMNS($C$10:BT18)&lt;=$A19,INDEX(Table1[[PARTICULAR]:[PARTICULAR]],_xlfn.AGGREGATE(15,3,(Table1[[#This Row],[Details]:[Details]]=$B19)/(Table1[[#This Row],[Details]:[Details]]=$B19)*(ROW(Table1[[Details]:[Details]])-ROW(Table1[[#Headers],[Details]])),COLUMNS($C$10:BT18))),"")</f>
        <v/>
      </c>
      <c r="BU19" t="str">
        <f>IF(COLUMNS($C$10:BU18)&lt;=$A19,INDEX(Table1[[PARTICULAR]:[PARTICULAR]],_xlfn.AGGREGATE(15,3,(Table1[[#This Row],[Details]:[Details]]=$B19)/(Table1[[#This Row],[Details]:[Details]]=$B19)*(ROW(Table1[[Details]:[Details]])-ROW(Table1[[#Headers],[Details]])),COLUMNS($C$10:BU18))),"")</f>
        <v/>
      </c>
      <c r="BV19" t="str">
        <f>IF(COLUMNS($C$10:BV18)&lt;=$A19,INDEX(Table1[[PARTICULAR]:[PARTICULAR]],_xlfn.AGGREGATE(15,3,(Table1[[#This Row],[Details]:[Details]]=$B19)/(Table1[[#This Row],[Details]:[Details]]=$B19)*(ROW(Table1[[Details]:[Details]])-ROW(Table1[[#Headers],[Details]])),COLUMNS($C$10:BV18))),"")</f>
        <v/>
      </c>
      <c r="BW19" t="str">
        <f>IF(COLUMNS($C$10:BW18)&lt;=$A19,INDEX(Table1[[PARTICULAR]:[PARTICULAR]],_xlfn.AGGREGATE(15,3,(Table1[[#This Row],[Details]:[Details]]=$B19)/(Table1[[#This Row],[Details]:[Details]]=$B19)*(ROW(Table1[[Details]:[Details]])-ROW(Table1[[#Headers],[Details]])),COLUMNS($C$10:BW18))),"")</f>
        <v/>
      </c>
      <c r="BX19" t="str">
        <f>IF(COLUMNS($C$10:BX18)&lt;=$A19,INDEX(Table1[[PARTICULAR]:[PARTICULAR]],_xlfn.AGGREGATE(15,3,(Table1[[#This Row],[Details]:[Details]]=$B19)/(Table1[[#This Row],[Details]:[Details]]=$B19)*(ROW(Table1[[Details]:[Details]])-ROW(Table1[[#Headers],[Details]])),COLUMNS($C$10:BX18))),"")</f>
        <v/>
      </c>
      <c r="BY19" t="str">
        <f>IF(COLUMNS($C$10:BY18)&lt;=$A19,INDEX(Table1[[PARTICULAR]:[PARTICULAR]],_xlfn.AGGREGATE(15,3,(Table1[[#This Row],[Details]:[Details]]=$B19)/(Table1[[#This Row],[Details]:[Details]]=$B19)*(ROW(Table1[[Details]:[Details]])-ROW(Table1[[#Headers],[Details]])),COLUMNS($C$10:BY18))),"")</f>
        <v/>
      </c>
      <c r="BZ19" t="str">
        <f>IF(COLUMNS($C$10:BZ18)&lt;=$A19,INDEX(Table1[[PARTICULAR]:[PARTICULAR]],_xlfn.AGGREGATE(15,3,(Table1[[#This Row],[Details]:[Details]]=$B19)/(Table1[[#This Row],[Details]:[Details]]=$B19)*(ROW(Table1[[Details]:[Details]])-ROW(Table1[[#Headers],[Details]])),COLUMNS($C$10:BZ18))),"")</f>
        <v/>
      </c>
      <c r="CA19" t="str">
        <f>IF(COLUMNS($C$10:CA18)&lt;=$A19,INDEX(Table1[[PARTICULAR]:[PARTICULAR]],_xlfn.AGGREGATE(15,3,(Table1[[#This Row],[Details]:[Details]]=$B19)/(Table1[[#This Row],[Details]:[Details]]=$B19)*(ROW(Table1[[Details]:[Details]])-ROW(Table1[[#Headers],[Details]])),COLUMNS($C$10:CA18))),"")</f>
        <v/>
      </c>
      <c r="CB19" t="str">
        <f>IF(COLUMNS($C$10:CB18)&lt;=$A19,INDEX(Table1[[PARTICULAR]:[PARTICULAR]],_xlfn.AGGREGATE(15,3,(Table1[[#This Row],[Details]:[Details]]=$B19)/(Table1[[#This Row],[Details]:[Details]]=$B19)*(ROW(Table1[[Details]:[Details]])-ROW(Table1[[#Headers],[Details]])),COLUMNS($C$10:CB18))),"")</f>
        <v/>
      </c>
    </row>
    <row r="20" spans="1:80">
      <c r="A20">
        <f>COUNTIF(Table1[Details],B20)</f>
        <v>8</v>
      </c>
      <c r="B20" s="97" t="str">
        <f>IFERROR(INDEX(Table1[Details],MATCH(0,INDEX(COUNTIF($B$10:B19,Table1[Details]),),0)),"")</f>
        <v>Metal</v>
      </c>
      <c r="C20" t="str">
        <f>IF(COLUMNS($C$10:C19)&lt;=$A20,INDEX(Table1[[PARTICULAR]:[PARTICULAR]],_xlfn.AGGREGATE(15,3,(Table1[[#This Row],[Details]:[Details]]=$B20)/(Table1[[#This Row],[Details]:[Details]]=$B20)*(ROW(Table1[[Details]:[Details]])-ROW(Table1[[#Headers],[Details]])),COLUMNS($C$10:C19))),"")</f>
        <v>J Hook </v>
      </c>
      <c r="D20" t="str">
        <f>IF(COLUMNS($C$10:D19)&lt;=$A20,INDEX(Table1[[PARTICULAR]:[PARTICULAR]],_xlfn.AGGREGATE(15,3,(Table1[[#This Row],[Details]:[Details]]=$B20)/(Table1[[#This Row],[Details]:[Details]]=$B20)*(ROW(Table1[[Details]:[Details]])-ROW(Table1[[#Headers],[Details]])),COLUMNS($C$10:D19))),"")</f>
        <v>S Hook</v>
      </c>
      <c r="E20" t="str">
        <f>IF(COLUMNS($C$10:E19)&lt;=$A20,INDEX(Table1[[PARTICULAR]:[PARTICULAR]],_xlfn.AGGREGATE(15,3,(Table1[[#This Row],[Details]:[Details]]=$B20)/(Table1[[#This Row],[Details]:[Details]]=$B20)*(ROW(Table1[[Details]:[Details]])-ROW(Table1[[#Headers],[Details]])),COLUMNS($C$10:E19))),"")</f>
        <v>MODULAR FIXTURE 4FT X 7FT</v>
      </c>
      <c r="F20" t="str">
        <f>IF(COLUMNS($C$10:F19)&lt;=$A20,INDEX(Table1[[PARTICULAR]:[PARTICULAR]],_xlfn.AGGREGATE(15,3,(Table1[[#This Row],[Details]:[Details]]=$B20)/(Table1[[#This Row],[Details]:[Details]]=$B20)*(ROW(Table1[[Details]:[Details]])-ROW(Table1[[#Headers],[Details]])),COLUMNS($C$10:F19))),"")</f>
        <v>MODULAR FIXTURE 4FT X 8FT</v>
      </c>
      <c r="G20" t="str">
        <f>IF(COLUMNS($C$10:G19)&lt;=$A20,INDEX(Table1[[PARTICULAR]:[PARTICULAR]],_xlfn.AGGREGATE(15,3,(Table1[[#This Row],[Details]:[Details]]=$B20)/(Table1[[#This Row],[Details]:[Details]]=$B20)*(ROW(Table1[[Details]:[Details]])-ROW(Table1[[#Headers],[Details]])),COLUMNS($C$10:G19))),"")</f>
        <v>MS Frame Standee Structure</v>
      </c>
      <c r="H20" t="str">
        <f>IF(COLUMNS($C$10:H19)&lt;=$A20,INDEX(Table1[[PARTICULAR]:[PARTICULAR]],_xlfn.AGGREGATE(15,3,(Table1[[#This Row],[Details]:[Details]]=$B20)/(Table1[[#This Row],[Details]:[Details]]=$B20)*(ROW(Table1[[Details]:[Details]])-ROW(Table1[[#Headers],[Details]])),COLUMNS($C$10:H19))),"")</f>
        <v>MS Frame Standee(Wrought Iron)</v>
      </c>
      <c r="I20" t="str">
        <f>IF(COLUMNS($C$10:I19)&lt;=$A20,INDEX(Table1[[PARTICULAR]:[PARTICULAR]],_xlfn.AGGREGATE(15,3,(Table1[[#This Row],[Details]:[Details]]=$B20)/(Table1[[#This Row],[Details]:[Details]]=$B20)*(ROW(Table1[[Details]:[Details]])-ROW(Table1[[#Headers],[Details]])),COLUMNS($C$10:I19))),"")</f>
        <v>MS Frame Structure</v>
      </c>
      <c r="J20" t="str">
        <f>IF(COLUMNS($C$10:J19)&lt;=$A20,INDEX(Table1[[PARTICULAR]:[PARTICULAR]],_xlfn.AGGREGATE(15,3,(Table1[[#This Row],[Details]:[Details]]=$B20)/(Table1[[#This Row],[Details]:[Details]]=$B20)*(ROW(Table1[[Details]:[Details]])-ROW(Table1[[#Headers],[Details]])),COLUMNS($C$10:J19))),"")</f>
        <v>Store Directory</v>
      </c>
      <c r="K20" t="str">
        <f>IF(COLUMNS($C$10:K19)&lt;=$A20,INDEX(Table1[[PARTICULAR]:[PARTICULAR]],_xlfn.AGGREGATE(15,3,(Table1[[#This Row],[Details]:[Details]]=$B20)/(Table1[[#This Row],[Details]:[Details]]=$B20)*(ROW(Table1[[Details]:[Details]])-ROW(Table1[[#Headers],[Details]])),COLUMNS($C$10:K19))),"")</f>
        <v/>
      </c>
      <c r="L20" t="str">
        <f>IF(COLUMNS($C$10:L19)&lt;=$A20,INDEX(Table1[[PARTICULAR]:[PARTICULAR]],_xlfn.AGGREGATE(15,3,(Table1[[#This Row],[Details]:[Details]]=$B20)/(Table1[[#This Row],[Details]:[Details]]=$B20)*(ROW(Table1[[Details]:[Details]])-ROW(Table1[[#Headers],[Details]])),COLUMNS($C$10:L19))),"")</f>
        <v/>
      </c>
      <c r="M20" t="str">
        <f>IF(COLUMNS($C$10:M19)&lt;=$A20,INDEX(Table1[[PARTICULAR]:[PARTICULAR]],_xlfn.AGGREGATE(15,3,(Table1[[#This Row],[Details]:[Details]]=$B20)/(Table1[[#This Row],[Details]:[Details]]=$B20)*(ROW(Table1[[Details]:[Details]])-ROW(Table1[[#Headers],[Details]])),COLUMNS($C$10:M19))),"")</f>
        <v/>
      </c>
      <c r="N20" t="str">
        <f>IF(COLUMNS($C$10:N19)&lt;=$A20,INDEX(Table1[[PARTICULAR]:[PARTICULAR]],_xlfn.AGGREGATE(15,3,(Table1[[#This Row],[Details]:[Details]]=$B20)/(Table1[[#This Row],[Details]:[Details]]=$B20)*(ROW(Table1[[Details]:[Details]])-ROW(Table1[[#Headers],[Details]])),COLUMNS($C$10:N19))),"")</f>
        <v/>
      </c>
      <c r="O20" t="str">
        <f>IF(COLUMNS($C$10:O19)&lt;=$A20,INDEX(Table1[[PARTICULAR]:[PARTICULAR]],_xlfn.AGGREGATE(15,3,(Table1[[#This Row],[Details]:[Details]]=$B20)/(Table1[[#This Row],[Details]:[Details]]=$B20)*(ROW(Table1[[Details]:[Details]])-ROW(Table1[[#Headers],[Details]])),COLUMNS($C$10:O19))),"")</f>
        <v/>
      </c>
      <c r="P20" t="str">
        <f>IF(COLUMNS($C$10:P19)&lt;=$A20,INDEX(Table1[[PARTICULAR]:[PARTICULAR]],_xlfn.AGGREGATE(15,3,(Table1[[#This Row],[Details]:[Details]]=$B20)/(Table1[[#This Row],[Details]:[Details]]=$B20)*(ROW(Table1[[Details]:[Details]])-ROW(Table1[[#Headers],[Details]])),COLUMNS($C$10:P19))),"")</f>
        <v/>
      </c>
      <c r="Q20" t="str">
        <f>IF(COLUMNS($C$10:Q19)&lt;=$A20,INDEX(Table1[[PARTICULAR]:[PARTICULAR]],_xlfn.AGGREGATE(15,3,(Table1[[#This Row],[Details]:[Details]]=$B20)/(Table1[[#This Row],[Details]:[Details]]=$B20)*(ROW(Table1[[Details]:[Details]])-ROW(Table1[[#Headers],[Details]])),COLUMNS($C$10:Q19))),"")</f>
        <v/>
      </c>
      <c r="R20" t="str">
        <f>IF(COLUMNS($C$10:R19)&lt;=$A20,INDEX(Table1[[PARTICULAR]:[PARTICULAR]],_xlfn.AGGREGATE(15,3,(Table1[[#This Row],[Details]:[Details]]=$B20)/(Table1[[#This Row],[Details]:[Details]]=$B20)*(ROW(Table1[[Details]:[Details]])-ROW(Table1[[#Headers],[Details]])),COLUMNS($C$10:R19))),"")</f>
        <v/>
      </c>
      <c r="S20" t="str">
        <f>IF(COLUMNS($C$10:S19)&lt;=$A20,INDEX(Table1[[PARTICULAR]:[PARTICULAR]],_xlfn.AGGREGATE(15,3,(Table1[[#This Row],[Details]:[Details]]=$B20)/(Table1[[#This Row],[Details]:[Details]]=$B20)*(ROW(Table1[[Details]:[Details]])-ROW(Table1[[#Headers],[Details]])),COLUMNS($C$10:S19))),"")</f>
        <v/>
      </c>
      <c r="T20" t="str">
        <f>IF(COLUMNS($C$10:T19)&lt;=$A20,INDEX(Table1[[PARTICULAR]:[PARTICULAR]],_xlfn.AGGREGATE(15,3,(Table1[[#This Row],[Details]:[Details]]=$B20)/(Table1[[#This Row],[Details]:[Details]]=$B20)*(ROW(Table1[[Details]:[Details]])-ROW(Table1[[#Headers],[Details]])),COLUMNS($C$10:T19))),"")</f>
        <v/>
      </c>
      <c r="U20" t="str">
        <f>IF(COLUMNS($C$10:U19)&lt;=$A20,INDEX(Table1[[PARTICULAR]:[PARTICULAR]],_xlfn.AGGREGATE(15,3,(Table1[[#This Row],[Details]:[Details]]=$B20)/(Table1[[#This Row],[Details]:[Details]]=$B20)*(ROW(Table1[[Details]:[Details]])-ROW(Table1[[#Headers],[Details]])),COLUMNS($C$10:U19))),"")</f>
        <v/>
      </c>
      <c r="V20" t="str">
        <f>IF(COLUMNS($C$10:V19)&lt;=$A20,INDEX(Table1[[PARTICULAR]:[PARTICULAR]],_xlfn.AGGREGATE(15,3,(Table1[[#This Row],[Details]:[Details]]=$B20)/(Table1[[#This Row],[Details]:[Details]]=$B20)*(ROW(Table1[[Details]:[Details]])-ROW(Table1[[#Headers],[Details]])),COLUMNS($C$10:V19))),"")</f>
        <v/>
      </c>
      <c r="W20" t="str">
        <f>IF(COLUMNS($C$10:W19)&lt;=$A20,INDEX(Table1[[PARTICULAR]:[PARTICULAR]],_xlfn.AGGREGATE(15,3,(Table1[[#This Row],[Details]:[Details]]=$B20)/(Table1[[#This Row],[Details]:[Details]]=$B20)*(ROW(Table1[[Details]:[Details]])-ROW(Table1[[#Headers],[Details]])),COLUMNS($C$10:W19))),"")</f>
        <v/>
      </c>
      <c r="X20" t="str">
        <f>IF(COLUMNS($C$10:X19)&lt;=$A20,INDEX(Table1[[PARTICULAR]:[PARTICULAR]],_xlfn.AGGREGATE(15,3,(Table1[[#This Row],[Details]:[Details]]=$B20)/(Table1[[#This Row],[Details]:[Details]]=$B20)*(ROW(Table1[[Details]:[Details]])-ROW(Table1[[#Headers],[Details]])),COLUMNS($C$10:X19))),"")</f>
        <v/>
      </c>
      <c r="Y20" t="str">
        <f>IF(COLUMNS($C$10:Y19)&lt;=$A20,INDEX(Table1[[PARTICULAR]:[PARTICULAR]],_xlfn.AGGREGATE(15,3,(Table1[[#This Row],[Details]:[Details]]=$B20)/(Table1[[#This Row],[Details]:[Details]]=$B20)*(ROW(Table1[[Details]:[Details]])-ROW(Table1[[#Headers],[Details]])),COLUMNS($C$10:Y19))),"")</f>
        <v/>
      </c>
      <c r="Z20" t="str">
        <f>IF(COLUMNS($C$10:Z19)&lt;=$A20,INDEX(Table1[[PARTICULAR]:[PARTICULAR]],_xlfn.AGGREGATE(15,3,(Table1[[#This Row],[Details]:[Details]]=$B20)/(Table1[[#This Row],[Details]:[Details]]=$B20)*(ROW(Table1[[Details]:[Details]])-ROW(Table1[[#Headers],[Details]])),COLUMNS($C$10:Z19))),"")</f>
        <v/>
      </c>
      <c r="AA20" t="str">
        <f>IF(COLUMNS($C$10:AA19)&lt;=$A20,INDEX(Table1[[PARTICULAR]:[PARTICULAR]],_xlfn.AGGREGATE(15,3,(Table1[[#This Row],[Details]:[Details]]=$B20)/(Table1[[#This Row],[Details]:[Details]]=$B20)*(ROW(Table1[[Details]:[Details]])-ROW(Table1[[#Headers],[Details]])),COLUMNS($C$10:AA19))),"")</f>
        <v/>
      </c>
      <c r="AB20" t="str">
        <f>IF(COLUMNS($C$10:AB19)&lt;=$A20,INDEX(Table1[[PARTICULAR]:[PARTICULAR]],_xlfn.AGGREGATE(15,3,(Table1[[#This Row],[Details]:[Details]]=$B20)/(Table1[[#This Row],[Details]:[Details]]=$B20)*(ROW(Table1[[Details]:[Details]])-ROW(Table1[[#Headers],[Details]])),COLUMNS($C$10:AB19))),"")</f>
        <v/>
      </c>
      <c r="AC20" t="str">
        <f>IF(COLUMNS($C$10:AC19)&lt;=$A20,INDEX(Table1[[PARTICULAR]:[PARTICULAR]],_xlfn.AGGREGATE(15,3,(Table1[[#This Row],[Details]:[Details]]=$B20)/(Table1[[#This Row],[Details]:[Details]]=$B20)*(ROW(Table1[[Details]:[Details]])-ROW(Table1[[#Headers],[Details]])),COLUMNS($C$10:AC19))),"")</f>
        <v/>
      </c>
      <c r="AD20" t="str">
        <f>IF(COLUMNS($C$10:AD19)&lt;=$A20,INDEX(Table1[[PARTICULAR]:[PARTICULAR]],_xlfn.AGGREGATE(15,3,(Table1[[#This Row],[Details]:[Details]]=$B20)/(Table1[[#This Row],[Details]:[Details]]=$B20)*(ROW(Table1[[Details]:[Details]])-ROW(Table1[[#Headers],[Details]])),COLUMNS($C$10:AD19))),"")</f>
        <v/>
      </c>
      <c r="AE20" t="str">
        <f>IF(COLUMNS($C$10:AE19)&lt;=$A20,INDEX(Table1[[PARTICULAR]:[PARTICULAR]],_xlfn.AGGREGATE(15,3,(Table1[[#This Row],[Details]:[Details]]=$B20)/(Table1[[#This Row],[Details]:[Details]]=$B20)*(ROW(Table1[[Details]:[Details]])-ROW(Table1[[#Headers],[Details]])),COLUMNS($C$10:AE19))),"")</f>
        <v/>
      </c>
      <c r="AF20" t="str">
        <f>IF(COLUMNS($C$10:AF19)&lt;=$A20,INDEX(Table1[[PARTICULAR]:[PARTICULAR]],_xlfn.AGGREGATE(15,3,(Table1[[#This Row],[Details]:[Details]]=$B20)/(Table1[[#This Row],[Details]:[Details]]=$B20)*(ROW(Table1[[Details]:[Details]])-ROW(Table1[[#Headers],[Details]])),COLUMNS($C$10:AF19))),"")</f>
        <v/>
      </c>
      <c r="AG20" t="str">
        <f>IF(COLUMNS($C$10:AG19)&lt;=$A20,INDEX(Table1[[PARTICULAR]:[PARTICULAR]],_xlfn.AGGREGATE(15,3,(Table1[[#This Row],[Details]:[Details]]=$B20)/(Table1[[#This Row],[Details]:[Details]]=$B20)*(ROW(Table1[[Details]:[Details]])-ROW(Table1[[#Headers],[Details]])),COLUMNS($C$10:AG19))),"")</f>
        <v/>
      </c>
      <c r="AH20" t="str">
        <f>IF(COLUMNS($C$10:AH19)&lt;=$A20,INDEX(Table1[[PARTICULAR]:[PARTICULAR]],_xlfn.AGGREGATE(15,3,(Table1[[#This Row],[Details]:[Details]]=$B20)/(Table1[[#This Row],[Details]:[Details]]=$B20)*(ROW(Table1[[Details]:[Details]])-ROW(Table1[[#Headers],[Details]])),COLUMNS($C$10:AH19))),"")</f>
        <v/>
      </c>
      <c r="AI20" t="str">
        <f>IF(COLUMNS($C$10:AI19)&lt;=$A20,INDEX(Table1[[PARTICULAR]:[PARTICULAR]],_xlfn.AGGREGATE(15,3,(Table1[[#This Row],[Details]:[Details]]=$B20)/(Table1[[#This Row],[Details]:[Details]]=$B20)*(ROW(Table1[[Details]:[Details]])-ROW(Table1[[#Headers],[Details]])),COLUMNS($C$10:AI19))),"")</f>
        <v/>
      </c>
      <c r="AJ20" t="str">
        <f>IF(COLUMNS($C$10:AJ19)&lt;=$A20,INDEX(Table1[[PARTICULAR]:[PARTICULAR]],_xlfn.AGGREGATE(15,3,(Table1[[#This Row],[Details]:[Details]]=$B20)/(Table1[[#This Row],[Details]:[Details]]=$B20)*(ROW(Table1[[Details]:[Details]])-ROW(Table1[[#Headers],[Details]])),COLUMNS($C$10:AJ19))),"")</f>
        <v/>
      </c>
      <c r="AK20" t="str">
        <f>IF(COLUMNS($C$10:AK19)&lt;=$A20,INDEX(Table1[[PARTICULAR]:[PARTICULAR]],_xlfn.AGGREGATE(15,3,(Table1[[#This Row],[Details]:[Details]]=$B20)/(Table1[[#This Row],[Details]:[Details]]=$B20)*(ROW(Table1[[Details]:[Details]])-ROW(Table1[[#Headers],[Details]])),COLUMNS($C$10:AK19))),"")</f>
        <v/>
      </c>
      <c r="AL20" t="str">
        <f>IF(COLUMNS($C$10:AL19)&lt;=$A20,INDEX(Table1[[PARTICULAR]:[PARTICULAR]],_xlfn.AGGREGATE(15,3,(Table1[[#This Row],[Details]:[Details]]=$B20)/(Table1[[#This Row],[Details]:[Details]]=$B20)*(ROW(Table1[[Details]:[Details]])-ROW(Table1[[#Headers],[Details]])),COLUMNS($C$10:AL19))),"")</f>
        <v/>
      </c>
      <c r="AM20" t="str">
        <f>IF(COLUMNS($C$10:AM19)&lt;=$A20,INDEX(Table1[[PARTICULAR]:[PARTICULAR]],_xlfn.AGGREGATE(15,3,(Table1[[#This Row],[Details]:[Details]]=$B20)/(Table1[[#This Row],[Details]:[Details]]=$B20)*(ROW(Table1[[Details]:[Details]])-ROW(Table1[[#Headers],[Details]])),COLUMNS($C$10:AM19))),"")</f>
        <v/>
      </c>
      <c r="AN20" t="str">
        <f>IF(COLUMNS($C$10:AN19)&lt;=$A20,INDEX(Table1[[PARTICULAR]:[PARTICULAR]],_xlfn.AGGREGATE(15,3,(Table1[[#This Row],[Details]:[Details]]=$B20)/(Table1[[#This Row],[Details]:[Details]]=$B20)*(ROW(Table1[[Details]:[Details]])-ROW(Table1[[#Headers],[Details]])),COLUMNS($C$10:AN19))),"")</f>
        <v/>
      </c>
      <c r="AO20" t="str">
        <f>IF(COLUMNS($C$10:AO19)&lt;=$A20,INDEX(Table1[[PARTICULAR]:[PARTICULAR]],_xlfn.AGGREGATE(15,3,(Table1[[#This Row],[Details]:[Details]]=$B20)/(Table1[[#This Row],[Details]:[Details]]=$B20)*(ROW(Table1[[Details]:[Details]])-ROW(Table1[[#Headers],[Details]])),COLUMNS($C$10:AO19))),"")</f>
        <v/>
      </c>
      <c r="AP20" t="str">
        <f>IF(COLUMNS($C$10:AP19)&lt;=$A20,INDEX(Table1[[PARTICULAR]:[PARTICULAR]],_xlfn.AGGREGATE(15,3,(Table1[[#This Row],[Details]:[Details]]=$B20)/(Table1[[#This Row],[Details]:[Details]]=$B20)*(ROW(Table1[[Details]:[Details]])-ROW(Table1[[#Headers],[Details]])),COLUMNS($C$10:AP19))),"")</f>
        <v/>
      </c>
      <c r="AQ20" t="str">
        <f>IF(COLUMNS($C$10:AQ19)&lt;=$A20,INDEX(Table1[[PARTICULAR]:[PARTICULAR]],_xlfn.AGGREGATE(15,3,(Table1[[#This Row],[Details]:[Details]]=$B20)/(Table1[[#This Row],[Details]:[Details]]=$B20)*(ROW(Table1[[Details]:[Details]])-ROW(Table1[[#Headers],[Details]])),COLUMNS($C$10:AQ19))),"")</f>
        <v/>
      </c>
      <c r="AR20" t="str">
        <f>IF(COLUMNS($C$10:AR19)&lt;=$A20,INDEX(Table1[[PARTICULAR]:[PARTICULAR]],_xlfn.AGGREGATE(15,3,(Table1[[#This Row],[Details]:[Details]]=$B20)/(Table1[[#This Row],[Details]:[Details]]=$B20)*(ROW(Table1[[Details]:[Details]])-ROW(Table1[[#Headers],[Details]])),COLUMNS($C$10:AR19))),"")</f>
        <v/>
      </c>
      <c r="AS20" t="str">
        <f>IF(COLUMNS($C$10:AS19)&lt;=$A20,INDEX(Table1[[PARTICULAR]:[PARTICULAR]],_xlfn.AGGREGATE(15,3,(Table1[[#This Row],[Details]:[Details]]=$B20)/(Table1[[#This Row],[Details]:[Details]]=$B20)*(ROW(Table1[[Details]:[Details]])-ROW(Table1[[#Headers],[Details]])),COLUMNS($C$10:AS19))),"")</f>
        <v/>
      </c>
      <c r="AT20" t="str">
        <f>IF(COLUMNS($C$10:AT19)&lt;=$A20,INDEX(Table1[[PARTICULAR]:[PARTICULAR]],_xlfn.AGGREGATE(15,3,(Table1[[#This Row],[Details]:[Details]]=$B20)/(Table1[[#This Row],[Details]:[Details]]=$B20)*(ROW(Table1[[Details]:[Details]])-ROW(Table1[[#Headers],[Details]])),COLUMNS($C$10:AT19))),"")</f>
        <v/>
      </c>
      <c r="AU20" t="str">
        <f>IF(COLUMNS($C$10:AU19)&lt;=$A20,INDEX(Table1[[PARTICULAR]:[PARTICULAR]],_xlfn.AGGREGATE(15,3,(Table1[[#This Row],[Details]:[Details]]=$B20)/(Table1[[#This Row],[Details]:[Details]]=$B20)*(ROW(Table1[[Details]:[Details]])-ROW(Table1[[#Headers],[Details]])),COLUMNS($C$10:AU19))),"")</f>
        <v/>
      </c>
      <c r="AV20" t="str">
        <f>IF(COLUMNS($C$10:AV19)&lt;=$A20,INDEX(Table1[[PARTICULAR]:[PARTICULAR]],_xlfn.AGGREGATE(15,3,(Table1[[#This Row],[Details]:[Details]]=$B20)/(Table1[[#This Row],[Details]:[Details]]=$B20)*(ROW(Table1[[Details]:[Details]])-ROW(Table1[[#Headers],[Details]])),COLUMNS($C$10:AV19))),"")</f>
        <v/>
      </c>
      <c r="AW20" t="str">
        <f>IF(COLUMNS($C$10:AW19)&lt;=$A20,INDEX(Table1[[PARTICULAR]:[PARTICULAR]],_xlfn.AGGREGATE(15,3,(Table1[[#This Row],[Details]:[Details]]=$B20)/(Table1[[#This Row],[Details]:[Details]]=$B20)*(ROW(Table1[[Details]:[Details]])-ROW(Table1[[#Headers],[Details]])),COLUMNS($C$10:AW19))),"")</f>
        <v/>
      </c>
      <c r="AX20" t="str">
        <f>IF(COLUMNS($C$10:AX19)&lt;=$A20,INDEX(Table1[[PARTICULAR]:[PARTICULAR]],_xlfn.AGGREGATE(15,3,(Table1[[#This Row],[Details]:[Details]]=$B20)/(Table1[[#This Row],[Details]:[Details]]=$B20)*(ROW(Table1[[Details]:[Details]])-ROW(Table1[[#Headers],[Details]])),COLUMNS($C$10:AX19))),"")</f>
        <v/>
      </c>
      <c r="AY20" t="str">
        <f>IF(COLUMNS($C$10:AY19)&lt;=$A20,INDEX(Table1[[PARTICULAR]:[PARTICULAR]],_xlfn.AGGREGATE(15,3,(Table1[[#This Row],[Details]:[Details]]=$B20)/(Table1[[#This Row],[Details]:[Details]]=$B20)*(ROW(Table1[[Details]:[Details]])-ROW(Table1[[#Headers],[Details]])),COLUMNS($C$10:AY19))),"")</f>
        <v/>
      </c>
      <c r="AZ20" t="str">
        <f>IF(COLUMNS($C$10:AZ19)&lt;=$A20,INDEX(Table1[[PARTICULAR]:[PARTICULAR]],_xlfn.AGGREGATE(15,3,(Table1[[#This Row],[Details]:[Details]]=$B20)/(Table1[[#This Row],[Details]:[Details]]=$B20)*(ROW(Table1[[Details]:[Details]])-ROW(Table1[[#Headers],[Details]])),COLUMNS($C$10:AZ19))),"")</f>
        <v/>
      </c>
      <c r="BA20" t="str">
        <f>IF(COLUMNS($C$10:BA19)&lt;=$A20,INDEX(Table1[[PARTICULAR]:[PARTICULAR]],_xlfn.AGGREGATE(15,3,(Table1[[#This Row],[Details]:[Details]]=$B20)/(Table1[[#This Row],[Details]:[Details]]=$B20)*(ROW(Table1[[Details]:[Details]])-ROW(Table1[[#Headers],[Details]])),COLUMNS($C$10:BA19))),"")</f>
        <v/>
      </c>
      <c r="BB20" t="str">
        <f>IF(COLUMNS($C$10:BB19)&lt;=$A20,INDEX(Table1[[PARTICULAR]:[PARTICULAR]],_xlfn.AGGREGATE(15,3,(Table1[[#This Row],[Details]:[Details]]=$B20)/(Table1[[#This Row],[Details]:[Details]]=$B20)*(ROW(Table1[[Details]:[Details]])-ROW(Table1[[#Headers],[Details]])),COLUMNS($C$10:BB19))),"")</f>
        <v/>
      </c>
      <c r="BC20" t="str">
        <f>IF(COLUMNS($C$10:BC19)&lt;=$A20,INDEX(Table1[[PARTICULAR]:[PARTICULAR]],_xlfn.AGGREGATE(15,3,(Table1[[#This Row],[Details]:[Details]]=$B20)/(Table1[[#This Row],[Details]:[Details]]=$B20)*(ROW(Table1[[Details]:[Details]])-ROW(Table1[[#Headers],[Details]])),COLUMNS($C$10:BC19))),"")</f>
        <v/>
      </c>
      <c r="BD20" t="str">
        <f>IF(COLUMNS($C$10:BD19)&lt;=$A20,INDEX(Table1[[PARTICULAR]:[PARTICULAR]],_xlfn.AGGREGATE(15,3,(Table1[[#This Row],[Details]:[Details]]=$B20)/(Table1[[#This Row],[Details]:[Details]]=$B20)*(ROW(Table1[[Details]:[Details]])-ROW(Table1[[#Headers],[Details]])),COLUMNS($C$10:BD19))),"")</f>
        <v/>
      </c>
      <c r="BE20" t="str">
        <f>IF(COLUMNS($C$10:BE19)&lt;=$A20,INDEX(Table1[[PARTICULAR]:[PARTICULAR]],_xlfn.AGGREGATE(15,3,(Table1[[#This Row],[Details]:[Details]]=$B20)/(Table1[[#This Row],[Details]:[Details]]=$B20)*(ROW(Table1[[Details]:[Details]])-ROW(Table1[[#Headers],[Details]])),COLUMNS($C$10:BE19))),"")</f>
        <v/>
      </c>
      <c r="BF20" t="str">
        <f>IF(COLUMNS($C$10:BF19)&lt;=$A20,INDEX(Table1[[PARTICULAR]:[PARTICULAR]],_xlfn.AGGREGATE(15,3,(Table1[[#This Row],[Details]:[Details]]=$B20)/(Table1[[#This Row],[Details]:[Details]]=$B20)*(ROW(Table1[[Details]:[Details]])-ROW(Table1[[#Headers],[Details]])),COLUMNS($C$10:BF19))),"")</f>
        <v/>
      </c>
      <c r="BG20" t="str">
        <f>IF(COLUMNS($C$10:BG19)&lt;=$A20,INDEX(Table1[[PARTICULAR]:[PARTICULAR]],_xlfn.AGGREGATE(15,3,(Table1[[#This Row],[Details]:[Details]]=$B20)/(Table1[[#This Row],[Details]:[Details]]=$B20)*(ROW(Table1[[Details]:[Details]])-ROW(Table1[[#Headers],[Details]])),COLUMNS($C$10:BG19))),"")</f>
        <v/>
      </c>
      <c r="BH20" t="str">
        <f>IF(COLUMNS($C$10:BH19)&lt;=$A20,INDEX(Table1[[PARTICULAR]:[PARTICULAR]],_xlfn.AGGREGATE(15,3,(Table1[[#This Row],[Details]:[Details]]=$B20)/(Table1[[#This Row],[Details]:[Details]]=$B20)*(ROW(Table1[[Details]:[Details]])-ROW(Table1[[#Headers],[Details]])),COLUMNS($C$10:BH19))),"")</f>
        <v/>
      </c>
      <c r="BI20" t="str">
        <f>IF(COLUMNS($C$10:BI19)&lt;=$A20,INDEX(Table1[[PARTICULAR]:[PARTICULAR]],_xlfn.AGGREGATE(15,3,(Table1[[#This Row],[Details]:[Details]]=$B20)/(Table1[[#This Row],[Details]:[Details]]=$B20)*(ROW(Table1[[Details]:[Details]])-ROW(Table1[[#Headers],[Details]])),COLUMNS($C$10:BI19))),"")</f>
        <v/>
      </c>
      <c r="BJ20" t="str">
        <f>IF(COLUMNS($C$10:BJ19)&lt;=$A20,INDEX(Table1[[PARTICULAR]:[PARTICULAR]],_xlfn.AGGREGATE(15,3,(Table1[[#This Row],[Details]:[Details]]=$B20)/(Table1[[#This Row],[Details]:[Details]]=$B20)*(ROW(Table1[[Details]:[Details]])-ROW(Table1[[#Headers],[Details]])),COLUMNS($C$10:BJ19))),"")</f>
        <v/>
      </c>
      <c r="BK20" t="str">
        <f>IF(COLUMNS($C$10:BK19)&lt;=$A20,INDEX(Table1[[PARTICULAR]:[PARTICULAR]],_xlfn.AGGREGATE(15,3,(Table1[[#This Row],[Details]:[Details]]=$B20)/(Table1[[#This Row],[Details]:[Details]]=$B20)*(ROW(Table1[[Details]:[Details]])-ROW(Table1[[#Headers],[Details]])),COLUMNS($C$10:BK19))),"")</f>
        <v/>
      </c>
      <c r="BL20" t="str">
        <f>IF(COLUMNS($C$10:BL19)&lt;=$A20,INDEX(Table1[[PARTICULAR]:[PARTICULAR]],_xlfn.AGGREGATE(15,3,(Table1[[#This Row],[Details]:[Details]]=$B20)/(Table1[[#This Row],[Details]:[Details]]=$B20)*(ROW(Table1[[Details]:[Details]])-ROW(Table1[[#Headers],[Details]])),COLUMNS($C$10:BL19))),"")</f>
        <v/>
      </c>
      <c r="BM20" t="str">
        <f>IF(COLUMNS($C$10:BM19)&lt;=$A20,INDEX(Table1[[PARTICULAR]:[PARTICULAR]],_xlfn.AGGREGATE(15,3,(Table1[[#This Row],[Details]:[Details]]=$B20)/(Table1[[#This Row],[Details]:[Details]]=$B20)*(ROW(Table1[[Details]:[Details]])-ROW(Table1[[#Headers],[Details]])),COLUMNS($C$10:BM19))),"")</f>
        <v/>
      </c>
      <c r="BN20" t="str">
        <f>IF(COLUMNS($C$10:BN19)&lt;=$A20,INDEX(Table1[[PARTICULAR]:[PARTICULAR]],_xlfn.AGGREGATE(15,3,(Table1[[#This Row],[Details]:[Details]]=$B20)/(Table1[[#This Row],[Details]:[Details]]=$B20)*(ROW(Table1[[Details]:[Details]])-ROW(Table1[[#Headers],[Details]])),COLUMNS($C$10:BN19))),"")</f>
        <v/>
      </c>
      <c r="BO20" t="str">
        <f>IF(COLUMNS($C$10:BO19)&lt;=$A20,INDEX(Table1[[PARTICULAR]:[PARTICULAR]],_xlfn.AGGREGATE(15,3,(Table1[[#This Row],[Details]:[Details]]=$B20)/(Table1[[#This Row],[Details]:[Details]]=$B20)*(ROW(Table1[[Details]:[Details]])-ROW(Table1[[#Headers],[Details]])),COLUMNS($C$10:BO19))),"")</f>
        <v/>
      </c>
      <c r="BP20" t="str">
        <f>IF(COLUMNS($C$10:BP19)&lt;=$A20,INDEX(Table1[[PARTICULAR]:[PARTICULAR]],_xlfn.AGGREGATE(15,3,(Table1[[#This Row],[Details]:[Details]]=$B20)/(Table1[[#This Row],[Details]:[Details]]=$B20)*(ROW(Table1[[Details]:[Details]])-ROW(Table1[[#Headers],[Details]])),COLUMNS($C$10:BP19))),"")</f>
        <v/>
      </c>
      <c r="BQ20" t="str">
        <f>IF(COLUMNS($C$10:BQ19)&lt;=$A20,INDEX(Table1[[PARTICULAR]:[PARTICULAR]],_xlfn.AGGREGATE(15,3,(Table1[[#This Row],[Details]:[Details]]=$B20)/(Table1[[#This Row],[Details]:[Details]]=$B20)*(ROW(Table1[[Details]:[Details]])-ROW(Table1[[#Headers],[Details]])),COLUMNS($C$10:BQ19))),"")</f>
        <v/>
      </c>
      <c r="BR20" t="str">
        <f>IF(COLUMNS($C$10:BR19)&lt;=$A20,INDEX(Table1[[PARTICULAR]:[PARTICULAR]],_xlfn.AGGREGATE(15,3,(Table1[[#This Row],[Details]:[Details]]=$B20)/(Table1[[#This Row],[Details]:[Details]]=$B20)*(ROW(Table1[[Details]:[Details]])-ROW(Table1[[#Headers],[Details]])),COLUMNS($C$10:BR19))),"")</f>
        <v/>
      </c>
      <c r="BS20" t="str">
        <f>IF(COLUMNS($C$10:BS19)&lt;=$A20,INDEX(Table1[[PARTICULAR]:[PARTICULAR]],_xlfn.AGGREGATE(15,3,(Table1[[#This Row],[Details]:[Details]]=$B20)/(Table1[[#This Row],[Details]:[Details]]=$B20)*(ROW(Table1[[Details]:[Details]])-ROW(Table1[[#Headers],[Details]])),COLUMNS($C$10:BS19))),"")</f>
        <v/>
      </c>
      <c r="BT20" t="str">
        <f>IF(COLUMNS($C$10:BT19)&lt;=$A20,INDEX(Table1[[PARTICULAR]:[PARTICULAR]],_xlfn.AGGREGATE(15,3,(Table1[[#This Row],[Details]:[Details]]=$B20)/(Table1[[#This Row],[Details]:[Details]]=$B20)*(ROW(Table1[[Details]:[Details]])-ROW(Table1[[#Headers],[Details]])),COLUMNS($C$10:BT19))),"")</f>
        <v/>
      </c>
      <c r="BU20" t="str">
        <f>IF(COLUMNS($C$10:BU19)&lt;=$A20,INDEX(Table1[[PARTICULAR]:[PARTICULAR]],_xlfn.AGGREGATE(15,3,(Table1[[#This Row],[Details]:[Details]]=$B20)/(Table1[[#This Row],[Details]:[Details]]=$B20)*(ROW(Table1[[Details]:[Details]])-ROW(Table1[[#Headers],[Details]])),COLUMNS($C$10:BU19))),"")</f>
        <v/>
      </c>
      <c r="BV20" t="str">
        <f>IF(COLUMNS($C$10:BV19)&lt;=$A20,INDEX(Table1[[PARTICULAR]:[PARTICULAR]],_xlfn.AGGREGATE(15,3,(Table1[[#This Row],[Details]:[Details]]=$B20)/(Table1[[#This Row],[Details]:[Details]]=$B20)*(ROW(Table1[[Details]:[Details]])-ROW(Table1[[#Headers],[Details]])),COLUMNS($C$10:BV19))),"")</f>
        <v/>
      </c>
      <c r="BW20" t="str">
        <f>IF(COLUMNS($C$10:BW19)&lt;=$A20,INDEX(Table1[[PARTICULAR]:[PARTICULAR]],_xlfn.AGGREGATE(15,3,(Table1[[#This Row],[Details]:[Details]]=$B20)/(Table1[[#This Row],[Details]:[Details]]=$B20)*(ROW(Table1[[Details]:[Details]])-ROW(Table1[[#Headers],[Details]])),COLUMNS($C$10:BW19))),"")</f>
        <v/>
      </c>
      <c r="BX20" t="str">
        <f>IF(COLUMNS($C$10:BX19)&lt;=$A20,INDEX(Table1[[PARTICULAR]:[PARTICULAR]],_xlfn.AGGREGATE(15,3,(Table1[[#This Row],[Details]:[Details]]=$B20)/(Table1[[#This Row],[Details]:[Details]]=$B20)*(ROW(Table1[[Details]:[Details]])-ROW(Table1[[#Headers],[Details]])),COLUMNS($C$10:BX19))),"")</f>
        <v/>
      </c>
      <c r="BY20" t="str">
        <f>IF(COLUMNS($C$10:BY19)&lt;=$A20,INDEX(Table1[[PARTICULAR]:[PARTICULAR]],_xlfn.AGGREGATE(15,3,(Table1[[#This Row],[Details]:[Details]]=$B20)/(Table1[[#This Row],[Details]:[Details]]=$B20)*(ROW(Table1[[Details]:[Details]])-ROW(Table1[[#Headers],[Details]])),COLUMNS($C$10:BY19))),"")</f>
        <v/>
      </c>
      <c r="BZ20" t="str">
        <f>IF(COLUMNS($C$10:BZ19)&lt;=$A20,INDEX(Table1[[PARTICULAR]:[PARTICULAR]],_xlfn.AGGREGATE(15,3,(Table1[[#This Row],[Details]:[Details]]=$B20)/(Table1[[#This Row],[Details]:[Details]]=$B20)*(ROW(Table1[[Details]:[Details]])-ROW(Table1[[#Headers],[Details]])),COLUMNS($C$10:BZ19))),"")</f>
        <v/>
      </c>
      <c r="CA20" t="str">
        <f>IF(COLUMNS($C$10:CA19)&lt;=$A20,INDEX(Table1[[PARTICULAR]:[PARTICULAR]],_xlfn.AGGREGATE(15,3,(Table1[[#This Row],[Details]:[Details]]=$B20)/(Table1[[#This Row],[Details]:[Details]]=$B20)*(ROW(Table1[[Details]:[Details]])-ROW(Table1[[#Headers],[Details]])),COLUMNS($C$10:CA19))),"")</f>
        <v/>
      </c>
      <c r="CB20" t="str">
        <f>IF(COLUMNS($C$10:CB19)&lt;=$A20,INDEX(Table1[[PARTICULAR]:[PARTICULAR]],_xlfn.AGGREGATE(15,3,(Table1[[#This Row],[Details]:[Details]]=$B20)/(Table1[[#This Row],[Details]:[Details]]=$B20)*(ROW(Table1[[Details]:[Details]])-ROW(Table1[[#Headers],[Details]])),COLUMNS($C$10:CB19))),"")</f>
        <v/>
      </c>
    </row>
    <row r="21" spans="1:80">
      <c r="A21">
        <f>COUNTIF(Table1[Details],B21)</f>
        <v>9</v>
      </c>
      <c r="B21" s="97" t="str">
        <f>IFERROR(INDEX(Table1[Details],MATCH(0,INDEX(COUNTIF($B$10:B20,Table1[Details]),),0)),"")</f>
        <v>Digital</v>
      </c>
      <c r="C21" t="str">
        <f>IF(COLUMNS($C$10:C20)&lt;=$A21,INDEX(Table1[[PARTICULAR]:[PARTICULAR]],_xlfn.AGGREGATE(15,3,(Table1[[#This Row],[Details]:[Details]]=$B21)/(Table1[[#This Row],[Details]:[Details]]=$B21)*(ROW(Table1[[Details]:[Details]])-ROW(Table1[[#Headers],[Details]])),COLUMNS($C$10:C20))),"")</f>
        <v>A3 - Danglers - Digital</v>
      </c>
      <c r="D21" t="str">
        <f>IF(COLUMNS($C$10:D20)&lt;=$A21,INDEX(Table1[[PARTICULAR]:[PARTICULAR]],_xlfn.AGGREGATE(15,3,(Table1[[#This Row],[Details]:[Details]]=$B21)/(Table1[[#This Row],[Details]:[Details]]=$B21)*(ROW(Table1[[Details]:[Details]])-ROW(Table1[[#Headers],[Details]])),COLUMNS($C$10:D20))),"")</f>
        <v>A3 - Signage - Digital</v>
      </c>
      <c r="E21" t="str">
        <f>IF(COLUMNS($C$10:E20)&lt;=$A21,INDEX(Table1[[PARTICULAR]:[PARTICULAR]],_xlfn.AGGREGATE(15,3,(Table1[[#This Row],[Details]:[Details]]=$B21)/(Table1[[#This Row],[Details]:[Details]]=$B21)*(ROW(Table1[[Details]:[Details]])-ROW(Table1[[#Headers],[Details]])),COLUMNS($C$10:E20))),"")</f>
        <v>A4 - Signage - Digital</v>
      </c>
      <c r="F21" t="str">
        <f>IF(COLUMNS($C$10:F20)&lt;=$A21,INDEX(Table1[[PARTICULAR]:[PARTICULAR]],_xlfn.AGGREGATE(15,3,(Table1[[#This Row],[Details]:[Details]]=$B21)/(Table1[[#This Row],[Details]:[Details]]=$B21)*(ROW(Table1[[Details]:[Details]])-ROW(Table1[[#Headers],[Details]])),COLUMNS($C$10:F20))),"")</f>
        <v>A5 - Signage - Digital</v>
      </c>
      <c r="G21" t="str">
        <f>IF(COLUMNS($C$10:G20)&lt;=$A21,INDEX(Table1[[PARTICULAR]:[PARTICULAR]],_xlfn.AGGREGATE(15,3,(Table1[[#This Row],[Details]:[Details]]=$B21)/(Table1[[#This Row],[Details]:[Details]]=$B21)*(ROW(Table1[[Details]:[Details]])-ROW(Table1[[#Headers],[Details]])),COLUMNS($C$10:G20))),"")</f>
        <v>Shelf Talker 6" X 8" - Digital</v>
      </c>
      <c r="H21" t="str">
        <f>IF(COLUMNS($C$10:H20)&lt;=$A21,INDEX(Table1[[PARTICULAR]:[PARTICULAR]],_xlfn.AGGREGATE(15,3,(Table1[[#This Row],[Details]:[Details]]=$B21)/(Table1[[#This Row],[Details]:[Details]]=$B21)*(ROW(Table1[[Details]:[Details]])-ROW(Table1[[#Headers],[Details]])),COLUMNS($C$10:H20))),"")</f>
        <v>Wobbler Printing - Digital</v>
      </c>
      <c r="I21" t="str">
        <f>IF(COLUMNS($C$10:I20)&lt;=$A21,INDEX(Table1[[PARTICULAR]:[PARTICULAR]],_xlfn.AGGREGATE(15,3,(Table1[[#This Row],[Details]:[Details]]=$B21)/(Table1[[#This Row],[Details]:[Details]]=$B21)*(ROW(Table1[[Details]:[Details]])-ROW(Table1[[#Headers],[Details]])),COLUMNS($C$10:I20))),"")</f>
        <v>A2 - SIGNAGE - DIGITAL 300GSM</v>
      </c>
      <c r="J21" t="str">
        <f>IF(COLUMNS($C$10:J20)&lt;=$A21,INDEX(Table1[[PARTICULAR]:[PARTICULAR]],_xlfn.AGGREGATE(15,3,(Table1[[#This Row],[Details]:[Details]]=$B21)/(Table1[[#This Row],[Details]:[Details]]=$B21)*(ROW(Table1[[Details]:[Details]])-ROW(Table1[[#Headers],[Details]])),COLUMNS($C$10:J20))),"")</f>
        <v>A3 Sticker Paper</v>
      </c>
      <c r="K21" t="str">
        <f>IF(COLUMNS($C$10:K20)&lt;=$A21,INDEX(Table1[[PARTICULAR]:[PARTICULAR]],_xlfn.AGGREGATE(15,3,(Table1[[#This Row],[Details]:[Details]]=$B21)/(Table1[[#This Row],[Details]:[Details]]=$B21)*(ROW(Table1[[Details]:[Details]])-ROW(Table1[[#Headers],[Details]])),COLUMNS($C$10:K20))),"")</f>
        <v>A2 NTR Digital  Synthetic Print</v>
      </c>
      <c r="L21" t="str">
        <f>IF(COLUMNS($C$10:L20)&lt;=$A21,INDEX(Table1[[PARTICULAR]:[PARTICULAR]],_xlfn.AGGREGATE(15,3,(Table1[[#This Row],[Details]:[Details]]=$B21)/(Table1[[#This Row],[Details]:[Details]]=$B21)*(ROW(Table1[[Details]:[Details]])-ROW(Table1[[#Headers],[Details]])),COLUMNS($C$10:L20))),"")</f>
        <v/>
      </c>
      <c r="M21" t="str">
        <f>IF(COLUMNS($C$10:M20)&lt;=$A21,INDEX(Table1[[PARTICULAR]:[PARTICULAR]],_xlfn.AGGREGATE(15,3,(Table1[[#This Row],[Details]:[Details]]=$B21)/(Table1[[#This Row],[Details]:[Details]]=$B21)*(ROW(Table1[[Details]:[Details]])-ROW(Table1[[#Headers],[Details]])),COLUMNS($C$10:M20))),"")</f>
        <v/>
      </c>
      <c r="N21" t="str">
        <f>IF(COLUMNS($C$10:N20)&lt;=$A21,INDEX(Table1[[PARTICULAR]:[PARTICULAR]],_xlfn.AGGREGATE(15,3,(Table1[[#This Row],[Details]:[Details]]=$B21)/(Table1[[#This Row],[Details]:[Details]]=$B21)*(ROW(Table1[[Details]:[Details]])-ROW(Table1[[#Headers],[Details]])),COLUMNS($C$10:N20))),"")</f>
        <v/>
      </c>
      <c r="O21" t="str">
        <f>IF(COLUMNS($C$10:O20)&lt;=$A21,INDEX(Table1[[PARTICULAR]:[PARTICULAR]],_xlfn.AGGREGATE(15,3,(Table1[[#This Row],[Details]:[Details]]=$B21)/(Table1[[#This Row],[Details]:[Details]]=$B21)*(ROW(Table1[[Details]:[Details]])-ROW(Table1[[#Headers],[Details]])),COLUMNS($C$10:O20))),"")</f>
        <v/>
      </c>
      <c r="P21" t="str">
        <f>IF(COLUMNS($C$10:P20)&lt;=$A21,INDEX(Table1[[PARTICULAR]:[PARTICULAR]],_xlfn.AGGREGATE(15,3,(Table1[[#This Row],[Details]:[Details]]=$B21)/(Table1[[#This Row],[Details]:[Details]]=$B21)*(ROW(Table1[[Details]:[Details]])-ROW(Table1[[#Headers],[Details]])),COLUMNS($C$10:P20))),"")</f>
        <v/>
      </c>
      <c r="Q21" t="str">
        <f>IF(COLUMNS($C$10:Q20)&lt;=$A21,INDEX(Table1[[PARTICULAR]:[PARTICULAR]],_xlfn.AGGREGATE(15,3,(Table1[[#This Row],[Details]:[Details]]=$B21)/(Table1[[#This Row],[Details]:[Details]]=$B21)*(ROW(Table1[[Details]:[Details]])-ROW(Table1[[#Headers],[Details]])),COLUMNS($C$10:Q20))),"")</f>
        <v/>
      </c>
      <c r="R21" t="str">
        <f>IF(COLUMNS($C$10:R20)&lt;=$A21,INDEX(Table1[[PARTICULAR]:[PARTICULAR]],_xlfn.AGGREGATE(15,3,(Table1[[#This Row],[Details]:[Details]]=$B21)/(Table1[[#This Row],[Details]:[Details]]=$B21)*(ROW(Table1[[Details]:[Details]])-ROW(Table1[[#Headers],[Details]])),COLUMNS($C$10:R20))),"")</f>
        <v/>
      </c>
      <c r="S21" t="str">
        <f>IF(COLUMNS($C$10:S20)&lt;=$A21,INDEX(Table1[[PARTICULAR]:[PARTICULAR]],_xlfn.AGGREGATE(15,3,(Table1[[#This Row],[Details]:[Details]]=$B21)/(Table1[[#This Row],[Details]:[Details]]=$B21)*(ROW(Table1[[Details]:[Details]])-ROW(Table1[[#Headers],[Details]])),COLUMNS($C$10:S20))),"")</f>
        <v/>
      </c>
      <c r="T21" t="str">
        <f>IF(COLUMNS($C$10:T20)&lt;=$A21,INDEX(Table1[[PARTICULAR]:[PARTICULAR]],_xlfn.AGGREGATE(15,3,(Table1[[#This Row],[Details]:[Details]]=$B21)/(Table1[[#This Row],[Details]:[Details]]=$B21)*(ROW(Table1[[Details]:[Details]])-ROW(Table1[[#Headers],[Details]])),COLUMNS($C$10:T20))),"")</f>
        <v/>
      </c>
      <c r="U21" t="str">
        <f>IF(COLUMNS($C$10:U20)&lt;=$A21,INDEX(Table1[[PARTICULAR]:[PARTICULAR]],_xlfn.AGGREGATE(15,3,(Table1[[#This Row],[Details]:[Details]]=$B21)/(Table1[[#This Row],[Details]:[Details]]=$B21)*(ROW(Table1[[Details]:[Details]])-ROW(Table1[[#Headers],[Details]])),COLUMNS($C$10:U20))),"")</f>
        <v/>
      </c>
      <c r="V21" t="str">
        <f>IF(COLUMNS($C$10:V20)&lt;=$A21,INDEX(Table1[[PARTICULAR]:[PARTICULAR]],_xlfn.AGGREGATE(15,3,(Table1[[#This Row],[Details]:[Details]]=$B21)/(Table1[[#This Row],[Details]:[Details]]=$B21)*(ROW(Table1[[Details]:[Details]])-ROW(Table1[[#Headers],[Details]])),COLUMNS($C$10:V20))),"")</f>
        <v/>
      </c>
      <c r="W21" t="str">
        <f>IF(COLUMNS($C$10:W20)&lt;=$A21,INDEX(Table1[[PARTICULAR]:[PARTICULAR]],_xlfn.AGGREGATE(15,3,(Table1[[#This Row],[Details]:[Details]]=$B21)/(Table1[[#This Row],[Details]:[Details]]=$B21)*(ROW(Table1[[Details]:[Details]])-ROW(Table1[[#Headers],[Details]])),COLUMNS($C$10:W20))),"")</f>
        <v/>
      </c>
      <c r="X21" t="str">
        <f>IF(COLUMNS($C$10:X20)&lt;=$A21,INDEX(Table1[[PARTICULAR]:[PARTICULAR]],_xlfn.AGGREGATE(15,3,(Table1[[#This Row],[Details]:[Details]]=$B21)/(Table1[[#This Row],[Details]:[Details]]=$B21)*(ROW(Table1[[Details]:[Details]])-ROW(Table1[[#Headers],[Details]])),COLUMNS($C$10:X20))),"")</f>
        <v/>
      </c>
      <c r="Y21" t="str">
        <f>IF(COLUMNS($C$10:Y20)&lt;=$A21,INDEX(Table1[[PARTICULAR]:[PARTICULAR]],_xlfn.AGGREGATE(15,3,(Table1[[#This Row],[Details]:[Details]]=$B21)/(Table1[[#This Row],[Details]:[Details]]=$B21)*(ROW(Table1[[Details]:[Details]])-ROW(Table1[[#Headers],[Details]])),COLUMNS($C$10:Y20))),"")</f>
        <v/>
      </c>
      <c r="Z21" t="str">
        <f>IF(COLUMNS($C$10:Z20)&lt;=$A21,INDEX(Table1[[PARTICULAR]:[PARTICULAR]],_xlfn.AGGREGATE(15,3,(Table1[[#This Row],[Details]:[Details]]=$B21)/(Table1[[#This Row],[Details]:[Details]]=$B21)*(ROW(Table1[[Details]:[Details]])-ROW(Table1[[#Headers],[Details]])),COLUMNS($C$10:Z20))),"")</f>
        <v/>
      </c>
      <c r="AA21" t="str">
        <f>IF(COLUMNS($C$10:AA20)&lt;=$A21,INDEX(Table1[[PARTICULAR]:[PARTICULAR]],_xlfn.AGGREGATE(15,3,(Table1[[#This Row],[Details]:[Details]]=$B21)/(Table1[[#This Row],[Details]:[Details]]=$B21)*(ROW(Table1[[Details]:[Details]])-ROW(Table1[[#Headers],[Details]])),COLUMNS($C$10:AA20))),"")</f>
        <v/>
      </c>
      <c r="AB21" t="str">
        <f>IF(COLUMNS($C$10:AB20)&lt;=$A21,INDEX(Table1[[PARTICULAR]:[PARTICULAR]],_xlfn.AGGREGATE(15,3,(Table1[[#This Row],[Details]:[Details]]=$B21)/(Table1[[#This Row],[Details]:[Details]]=$B21)*(ROW(Table1[[Details]:[Details]])-ROW(Table1[[#Headers],[Details]])),COLUMNS($C$10:AB20))),"")</f>
        <v/>
      </c>
      <c r="AC21" t="str">
        <f>IF(COLUMNS($C$10:AC20)&lt;=$A21,INDEX(Table1[[PARTICULAR]:[PARTICULAR]],_xlfn.AGGREGATE(15,3,(Table1[[#This Row],[Details]:[Details]]=$B21)/(Table1[[#This Row],[Details]:[Details]]=$B21)*(ROW(Table1[[Details]:[Details]])-ROW(Table1[[#Headers],[Details]])),COLUMNS($C$10:AC20))),"")</f>
        <v/>
      </c>
      <c r="AD21" t="str">
        <f>IF(COLUMNS($C$10:AD20)&lt;=$A21,INDEX(Table1[[PARTICULAR]:[PARTICULAR]],_xlfn.AGGREGATE(15,3,(Table1[[#This Row],[Details]:[Details]]=$B21)/(Table1[[#This Row],[Details]:[Details]]=$B21)*(ROW(Table1[[Details]:[Details]])-ROW(Table1[[#Headers],[Details]])),COLUMNS($C$10:AD20))),"")</f>
        <v/>
      </c>
      <c r="AE21" t="str">
        <f>IF(COLUMNS($C$10:AE20)&lt;=$A21,INDEX(Table1[[PARTICULAR]:[PARTICULAR]],_xlfn.AGGREGATE(15,3,(Table1[[#This Row],[Details]:[Details]]=$B21)/(Table1[[#This Row],[Details]:[Details]]=$B21)*(ROW(Table1[[Details]:[Details]])-ROW(Table1[[#Headers],[Details]])),COLUMNS($C$10:AE20))),"")</f>
        <v/>
      </c>
      <c r="AF21" t="str">
        <f>IF(COLUMNS($C$10:AF20)&lt;=$A21,INDEX(Table1[[PARTICULAR]:[PARTICULAR]],_xlfn.AGGREGATE(15,3,(Table1[[#This Row],[Details]:[Details]]=$B21)/(Table1[[#This Row],[Details]:[Details]]=$B21)*(ROW(Table1[[Details]:[Details]])-ROW(Table1[[#Headers],[Details]])),COLUMNS($C$10:AF20))),"")</f>
        <v/>
      </c>
      <c r="AG21" t="str">
        <f>IF(COLUMNS($C$10:AG20)&lt;=$A21,INDEX(Table1[[PARTICULAR]:[PARTICULAR]],_xlfn.AGGREGATE(15,3,(Table1[[#This Row],[Details]:[Details]]=$B21)/(Table1[[#This Row],[Details]:[Details]]=$B21)*(ROW(Table1[[Details]:[Details]])-ROW(Table1[[#Headers],[Details]])),COLUMNS($C$10:AG20))),"")</f>
        <v/>
      </c>
      <c r="AH21" t="str">
        <f>IF(COLUMNS($C$10:AH20)&lt;=$A21,INDEX(Table1[[PARTICULAR]:[PARTICULAR]],_xlfn.AGGREGATE(15,3,(Table1[[#This Row],[Details]:[Details]]=$B21)/(Table1[[#This Row],[Details]:[Details]]=$B21)*(ROW(Table1[[Details]:[Details]])-ROW(Table1[[#Headers],[Details]])),COLUMNS($C$10:AH20))),"")</f>
        <v/>
      </c>
      <c r="AI21" t="str">
        <f>IF(COLUMNS($C$10:AI20)&lt;=$A21,INDEX(Table1[[PARTICULAR]:[PARTICULAR]],_xlfn.AGGREGATE(15,3,(Table1[[#This Row],[Details]:[Details]]=$B21)/(Table1[[#This Row],[Details]:[Details]]=$B21)*(ROW(Table1[[Details]:[Details]])-ROW(Table1[[#Headers],[Details]])),COLUMNS($C$10:AI20))),"")</f>
        <v/>
      </c>
      <c r="AJ21" t="str">
        <f>IF(COLUMNS($C$10:AJ20)&lt;=$A21,INDEX(Table1[[PARTICULAR]:[PARTICULAR]],_xlfn.AGGREGATE(15,3,(Table1[[#This Row],[Details]:[Details]]=$B21)/(Table1[[#This Row],[Details]:[Details]]=$B21)*(ROW(Table1[[Details]:[Details]])-ROW(Table1[[#Headers],[Details]])),COLUMNS($C$10:AJ20))),"")</f>
        <v/>
      </c>
      <c r="AK21" t="str">
        <f>IF(COLUMNS($C$10:AK20)&lt;=$A21,INDEX(Table1[[PARTICULAR]:[PARTICULAR]],_xlfn.AGGREGATE(15,3,(Table1[[#This Row],[Details]:[Details]]=$B21)/(Table1[[#This Row],[Details]:[Details]]=$B21)*(ROW(Table1[[Details]:[Details]])-ROW(Table1[[#Headers],[Details]])),COLUMNS($C$10:AK20))),"")</f>
        <v/>
      </c>
      <c r="AL21" t="str">
        <f>IF(COLUMNS($C$10:AL20)&lt;=$A21,INDEX(Table1[[PARTICULAR]:[PARTICULAR]],_xlfn.AGGREGATE(15,3,(Table1[[#This Row],[Details]:[Details]]=$B21)/(Table1[[#This Row],[Details]:[Details]]=$B21)*(ROW(Table1[[Details]:[Details]])-ROW(Table1[[#Headers],[Details]])),COLUMNS($C$10:AL20))),"")</f>
        <v/>
      </c>
      <c r="AM21" t="str">
        <f>IF(COLUMNS($C$10:AM20)&lt;=$A21,INDEX(Table1[[PARTICULAR]:[PARTICULAR]],_xlfn.AGGREGATE(15,3,(Table1[[#This Row],[Details]:[Details]]=$B21)/(Table1[[#This Row],[Details]:[Details]]=$B21)*(ROW(Table1[[Details]:[Details]])-ROW(Table1[[#Headers],[Details]])),COLUMNS($C$10:AM20))),"")</f>
        <v/>
      </c>
      <c r="AN21" t="str">
        <f>IF(COLUMNS($C$10:AN20)&lt;=$A21,INDEX(Table1[[PARTICULAR]:[PARTICULAR]],_xlfn.AGGREGATE(15,3,(Table1[[#This Row],[Details]:[Details]]=$B21)/(Table1[[#This Row],[Details]:[Details]]=$B21)*(ROW(Table1[[Details]:[Details]])-ROW(Table1[[#Headers],[Details]])),COLUMNS($C$10:AN20))),"")</f>
        <v/>
      </c>
      <c r="AO21" t="str">
        <f>IF(COLUMNS($C$10:AO20)&lt;=$A21,INDEX(Table1[[PARTICULAR]:[PARTICULAR]],_xlfn.AGGREGATE(15,3,(Table1[[#This Row],[Details]:[Details]]=$B21)/(Table1[[#This Row],[Details]:[Details]]=$B21)*(ROW(Table1[[Details]:[Details]])-ROW(Table1[[#Headers],[Details]])),COLUMNS($C$10:AO20))),"")</f>
        <v/>
      </c>
      <c r="AP21" t="str">
        <f>IF(COLUMNS($C$10:AP20)&lt;=$A21,INDEX(Table1[[PARTICULAR]:[PARTICULAR]],_xlfn.AGGREGATE(15,3,(Table1[[#This Row],[Details]:[Details]]=$B21)/(Table1[[#This Row],[Details]:[Details]]=$B21)*(ROW(Table1[[Details]:[Details]])-ROW(Table1[[#Headers],[Details]])),COLUMNS($C$10:AP20))),"")</f>
        <v/>
      </c>
      <c r="AQ21" t="str">
        <f>IF(COLUMNS($C$10:AQ20)&lt;=$A21,INDEX(Table1[[PARTICULAR]:[PARTICULAR]],_xlfn.AGGREGATE(15,3,(Table1[[#This Row],[Details]:[Details]]=$B21)/(Table1[[#This Row],[Details]:[Details]]=$B21)*(ROW(Table1[[Details]:[Details]])-ROW(Table1[[#Headers],[Details]])),COLUMNS($C$10:AQ20))),"")</f>
        <v/>
      </c>
      <c r="AR21" t="str">
        <f>IF(COLUMNS($C$10:AR20)&lt;=$A21,INDEX(Table1[[PARTICULAR]:[PARTICULAR]],_xlfn.AGGREGATE(15,3,(Table1[[#This Row],[Details]:[Details]]=$B21)/(Table1[[#This Row],[Details]:[Details]]=$B21)*(ROW(Table1[[Details]:[Details]])-ROW(Table1[[#Headers],[Details]])),COLUMNS($C$10:AR20))),"")</f>
        <v/>
      </c>
      <c r="AS21" t="str">
        <f>IF(COLUMNS($C$10:AS20)&lt;=$A21,INDEX(Table1[[PARTICULAR]:[PARTICULAR]],_xlfn.AGGREGATE(15,3,(Table1[[#This Row],[Details]:[Details]]=$B21)/(Table1[[#This Row],[Details]:[Details]]=$B21)*(ROW(Table1[[Details]:[Details]])-ROW(Table1[[#Headers],[Details]])),COLUMNS($C$10:AS20))),"")</f>
        <v/>
      </c>
      <c r="AT21" t="str">
        <f>IF(COLUMNS($C$10:AT20)&lt;=$A21,INDEX(Table1[[PARTICULAR]:[PARTICULAR]],_xlfn.AGGREGATE(15,3,(Table1[[#This Row],[Details]:[Details]]=$B21)/(Table1[[#This Row],[Details]:[Details]]=$B21)*(ROW(Table1[[Details]:[Details]])-ROW(Table1[[#Headers],[Details]])),COLUMNS($C$10:AT20))),"")</f>
        <v/>
      </c>
      <c r="AU21" t="str">
        <f>IF(COLUMNS($C$10:AU20)&lt;=$A21,INDEX(Table1[[PARTICULAR]:[PARTICULAR]],_xlfn.AGGREGATE(15,3,(Table1[[#This Row],[Details]:[Details]]=$B21)/(Table1[[#This Row],[Details]:[Details]]=$B21)*(ROW(Table1[[Details]:[Details]])-ROW(Table1[[#Headers],[Details]])),COLUMNS($C$10:AU20))),"")</f>
        <v/>
      </c>
      <c r="AV21" t="str">
        <f>IF(COLUMNS($C$10:AV20)&lt;=$A21,INDEX(Table1[[PARTICULAR]:[PARTICULAR]],_xlfn.AGGREGATE(15,3,(Table1[[#This Row],[Details]:[Details]]=$B21)/(Table1[[#This Row],[Details]:[Details]]=$B21)*(ROW(Table1[[Details]:[Details]])-ROW(Table1[[#Headers],[Details]])),COLUMNS($C$10:AV20))),"")</f>
        <v/>
      </c>
      <c r="AW21" t="str">
        <f>IF(COLUMNS($C$10:AW20)&lt;=$A21,INDEX(Table1[[PARTICULAR]:[PARTICULAR]],_xlfn.AGGREGATE(15,3,(Table1[[#This Row],[Details]:[Details]]=$B21)/(Table1[[#This Row],[Details]:[Details]]=$B21)*(ROW(Table1[[Details]:[Details]])-ROW(Table1[[#Headers],[Details]])),COLUMNS($C$10:AW20))),"")</f>
        <v/>
      </c>
      <c r="AX21" t="str">
        <f>IF(COLUMNS($C$10:AX20)&lt;=$A21,INDEX(Table1[[PARTICULAR]:[PARTICULAR]],_xlfn.AGGREGATE(15,3,(Table1[[#This Row],[Details]:[Details]]=$B21)/(Table1[[#This Row],[Details]:[Details]]=$B21)*(ROW(Table1[[Details]:[Details]])-ROW(Table1[[#Headers],[Details]])),COLUMNS($C$10:AX20))),"")</f>
        <v/>
      </c>
      <c r="AY21" t="str">
        <f>IF(COLUMNS($C$10:AY20)&lt;=$A21,INDEX(Table1[[PARTICULAR]:[PARTICULAR]],_xlfn.AGGREGATE(15,3,(Table1[[#This Row],[Details]:[Details]]=$B21)/(Table1[[#This Row],[Details]:[Details]]=$B21)*(ROW(Table1[[Details]:[Details]])-ROW(Table1[[#Headers],[Details]])),COLUMNS($C$10:AY20))),"")</f>
        <v/>
      </c>
      <c r="AZ21" t="str">
        <f>IF(COLUMNS($C$10:AZ20)&lt;=$A21,INDEX(Table1[[PARTICULAR]:[PARTICULAR]],_xlfn.AGGREGATE(15,3,(Table1[[#This Row],[Details]:[Details]]=$B21)/(Table1[[#This Row],[Details]:[Details]]=$B21)*(ROW(Table1[[Details]:[Details]])-ROW(Table1[[#Headers],[Details]])),COLUMNS($C$10:AZ20))),"")</f>
        <v/>
      </c>
      <c r="BA21" t="str">
        <f>IF(COLUMNS($C$10:BA20)&lt;=$A21,INDEX(Table1[[PARTICULAR]:[PARTICULAR]],_xlfn.AGGREGATE(15,3,(Table1[[#This Row],[Details]:[Details]]=$B21)/(Table1[[#This Row],[Details]:[Details]]=$B21)*(ROW(Table1[[Details]:[Details]])-ROW(Table1[[#Headers],[Details]])),COLUMNS($C$10:BA20))),"")</f>
        <v/>
      </c>
      <c r="BB21" t="str">
        <f>IF(COLUMNS($C$10:BB20)&lt;=$A21,INDEX(Table1[[PARTICULAR]:[PARTICULAR]],_xlfn.AGGREGATE(15,3,(Table1[[#This Row],[Details]:[Details]]=$B21)/(Table1[[#This Row],[Details]:[Details]]=$B21)*(ROW(Table1[[Details]:[Details]])-ROW(Table1[[#Headers],[Details]])),COLUMNS($C$10:BB20))),"")</f>
        <v/>
      </c>
      <c r="BC21" t="str">
        <f>IF(COLUMNS($C$10:BC20)&lt;=$A21,INDEX(Table1[[PARTICULAR]:[PARTICULAR]],_xlfn.AGGREGATE(15,3,(Table1[[#This Row],[Details]:[Details]]=$B21)/(Table1[[#This Row],[Details]:[Details]]=$B21)*(ROW(Table1[[Details]:[Details]])-ROW(Table1[[#Headers],[Details]])),COLUMNS($C$10:BC20))),"")</f>
        <v/>
      </c>
      <c r="BD21" t="str">
        <f>IF(COLUMNS($C$10:BD20)&lt;=$A21,INDEX(Table1[[PARTICULAR]:[PARTICULAR]],_xlfn.AGGREGATE(15,3,(Table1[[#This Row],[Details]:[Details]]=$B21)/(Table1[[#This Row],[Details]:[Details]]=$B21)*(ROW(Table1[[Details]:[Details]])-ROW(Table1[[#Headers],[Details]])),COLUMNS($C$10:BD20))),"")</f>
        <v/>
      </c>
      <c r="BE21" t="str">
        <f>IF(COLUMNS($C$10:BE20)&lt;=$A21,INDEX(Table1[[PARTICULAR]:[PARTICULAR]],_xlfn.AGGREGATE(15,3,(Table1[[#This Row],[Details]:[Details]]=$B21)/(Table1[[#This Row],[Details]:[Details]]=$B21)*(ROW(Table1[[Details]:[Details]])-ROW(Table1[[#Headers],[Details]])),COLUMNS($C$10:BE20))),"")</f>
        <v/>
      </c>
      <c r="BF21" t="str">
        <f>IF(COLUMNS($C$10:BF20)&lt;=$A21,INDEX(Table1[[PARTICULAR]:[PARTICULAR]],_xlfn.AGGREGATE(15,3,(Table1[[#This Row],[Details]:[Details]]=$B21)/(Table1[[#This Row],[Details]:[Details]]=$B21)*(ROW(Table1[[Details]:[Details]])-ROW(Table1[[#Headers],[Details]])),COLUMNS($C$10:BF20))),"")</f>
        <v/>
      </c>
      <c r="BG21" t="str">
        <f>IF(COLUMNS($C$10:BG20)&lt;=$A21,INDEX(Table1[[PARTICULAR]:[PARTICULAR]],_xlfn.AGGREGATE(15,3,(Table1[[#This Row],[Details]:[Details]]=$B21)/(Table1[[#This Row],[Details]:[Details]]=$B21)*(ROW(Table1[[Details]:[Details]])-ROW(Table1[[#Headers],[Details]])),COLUMNS($C$10:BG20))),"")</f>
        <v/>
      </c>
      <c r="BH21" t="str">
        <f>IF(COLUMNS($C$10:BH20)&lt;=$A21,INDEX(Table1[[PARTICULAR]:[PARTICULAR]],_xlfn.AGGREGATE(15,3,(Table1[[#This Row],[Details]:[Details]]=$B21)/(Table1[[#This Row],[Details]:[Details]]=$B21)*(ROW(Table1[[Details]:[Details]])-ROW(Table1[[#Headers],[Details]])),COLUMNS($C$10:BH20))),"")</f>
        <v/>
      </c>
      <c r="BI21" t="str">
        <f>IF(COLUMNS($C$10:BI20)&lt;=$A21,INDEX(Table1[[PARTICULAR]:[PARTICULAR]],_xlfn.AGGREGATE(15,3,(Table1[[#This Row],[Details]:[Details]]=$B21)/(Table1[[#This Row],[Details]:[Details]]=$B21)*(ROW(Table1[[Details]:[Details]])-ROW(Table1[[#Headers],[Details]])),COLUMNS($C$10:BI20))),"")</f>
        <v/>
      </c>
      <c r="BJ21" t="str">
        <f>IF(COLUMNS($C$10:BJ20)&lt;=$A21,INDEX(Table1[[PARTICULAR]:[PARTICULAR]],_xlfn.AGGREGATE(15,3,(Table1[[#This Row],[Details]:[Details]]=$B21)/(Table1[[#This Row],[Details]:[Details]]=$B21)*(ROW(Table1[[Details]:[Details]])-ROW(Table1[[#Headers],[Details]])),COLUMNS($C$10:BJ20))),"")</f>
        <v/>
      </c>
      <c r="BK21" t="str">
        <f>IF(COLUMNS($C$10:BK20)&lt;=$A21,INDEX(Table1[[PARTICULAR]:[PARTICULAR]],_xlfn.AGGREGATE(15,3,(Table1[[#This Row],[Details]:[Details]]=$B21)/(Table1[[#This Row],[Details]:[Details]]=$B21)*(ROW(Table1[[Details]:[Details]])-ROW(Table1[[#Headers],[Details]])),COLUMNS($C$10:BK20))),"")</f>
        <v/>
      </c>
      <c r="BL21" t="str">
        <f>IF(COLUMNS($C$10:BL20)&lt;=$A21,INDEX(Table1[[PARTICULAR]:[PARTICULAR]],_xlfn.AGGREGATE(15,3,(Table1[[#This Row],[Details]:[Details]]=$B21)/(Table1[[#This Row],[Details]:[Details]]=$B21)*(ROW(Table1[[Details]:[Details]])-ROW(Table1[[#Headers],[Details]])),COLUMNS($C$10:BL20))),"")</f>
        <v/>
      </c>
      <c r="BM21" t="str">
        <f>IF(COLUMNS($C$10:BM20)&lt;=$A21,INDEX(Table1[[PARTICULAR]:[PARTICULAR]],_xlfn.AGGREGATE(15,3,(Table1[[#This Row],[Details]:[Details]]=$B21)/(Table1[[#This Row],[Details]:[Details]]=$B21)*(ROW(Table1[[Details]:[Details]])-ROW(Table1[[#Headers],[Details]])),COLUMNS($C$10:BM20))),"")</f>
        <v/>
      </c>
      <c r="BN21" t="str">
        <f>IF(COLUMNS($C$10:BN20)&lt;=$A21,INDEX(Table1[[PARTICULAR]:[PARTICULAR]],_xlfn.AGGREGATE(15,3,(Table1[[#This Row],[Details]:[Details]]=$B21)/(Table1[[#This Row],[Details]:[Details]]=$B21)*(ROW(Table1[[Details]:[Details]])-ROW(Table1[[#Headers],[Details]])),COLUMNS($C$10:BN20))),"")</f>
        <v/>
      </c>
      <c r="BO21" t="str">
        <f>IF(COLUMNS($C$10:BO20)&lt;=$A21,INDEX(Table1[[PARTICULAR]:[PARTICULAR]],_xlfn.AGGREGATE(15,3,(Table1[[#This Row],[Details]:[Details]]=$B21)/(Table1[[#This Row],[Details]:[Details]]=$B21)*(ROW(Table1[[Details]:[Details]])-ROW(Table1[[#Headers],[Details]])),COLUMNS($C$10:BO20))),"")</f>
        <v/>
      </c>
      <c r="BP21" t="str">
        <f>IF(COLUMNS($C$10:BP20)&lt;=$A21,INDEX(Table1[[PARTICULAR]:[PARTICULAR]],_xlfn.AGGREGATE(15,3,(Table1[[#This Row],[Details]:[Details]]=$B21)/(Table1[[#This Row],[Details]:[Details]]=$B21)*(ROW(Table1[[Details]:[Details]])-ROW(Table1[[#Headers],[Details]])),COLUMNS($C$10:BP20))),"")</f>
        <v/>
      </c>
      <c r="BQ21" t="str">
        <f>IF(COLUMNS($C$10:BQ20)&lt;=$A21,INDEX(Table1[[PARTICULAR]:[PARTICULAR]],_xlfn.AGGREGATE(15,3,(Table1[[#This Row],[Details]:[Details]]=$B21)/(Table1[[#This Row],[Details]:[Details]]=$B21)*(ROW(Table1[[Details]:[Details]])-ROW(Table1[[#Headers],[Details]])),COLUMNS($C$10:BQ20))),"")</f>
        <v/>
      </c>
      <c r="BR21" t="str">
        <f>IF(COLUMNS($C$10:BR20)&lt;=$A21,INDEX(Table1[[PARTICULAR]:[PARTICULAR]],_xlfn.AGGREGATE(15,3,(Table1[[#This Row],[Details]:[Details]]=$B21)/(Table1[[#This Row],[Details]:[Details]]=$B21)*(ROW(Table1[[Details]:[Details]])-ROW(Table1[[#Headers],[Details]])),COLUMNS($C$10:BR20))),"")</f>
        <v/>
      </c>
      <c r="BS21" t="str">
        <f>IF(COLUMNS($C$10:BS20)&lt;=$A21,INDEX(Table1[[PARTICULAR]:[PARTICULAR]],_xlfn.AGGREGATE(15,3,(Table1[[#This Row],[Details]:[Details]]=$B21)/(Table1[[#This Row],[Details]:[Details]]=$B21)*(ROW(Table1[[Details]:[Details]])-ROW(Table1[[#Headers],[Details]])),COLUMNS($C$10:BS20))),"")</f>
        <v/>
      </c>
      <c r="BT21" t="str">
        <f>IF(COLUMNS($C$10:BT20)&lt;=$A21,INDEX(Table1[[PARTICULAR]:[PARTICULAR]],_xlfn.AGGREGATE(15,3,(Table1[[#This Row],[Details]:[Details]]=$B21)/(Table1[[#This Row],[Details]:[Details]]=$B21)*(ROW(Table1[[Details]:[Details]])-ROW(Table1[[#Headers],[Details]])),COLUMNS($C$10:BT20))),"")</f>
        <v/>
      </c>
      <c r="BU21" t="str">
        <f>IF(COLUMNS($C$10:BU20)&lt;=$A21,INDEX(Table1[[PARTICULAR]:[PARTICULAR]],_xlfn.AGGREGATE(15,3,(Table1[[#This Row],[Details]:[Details]]=$B21)/(Table1[[#This Row],[Details]:[Details]]=$B21)*(ROW(Table1[[Details]:[Details]])-ROW(Table1[[#Headers],[Details]])),COLUMNS($C$10:BU20))),"")</f>
        <v/>
      </c>
      <c r="BV21" t="str">
        <f>IF(COLUMNS($C$10:BV20)&lt;=$A21,INDEX(Table1[[PARTICULAR]:[PARTICULAR]],_xlfn.AGGREGATE(15,3,(Table1[[#This Row],[Details]:[Details]]=$B21)/(Table1[[#This Row],[Details]:[Details]]=$B21)*(ROW(Table1[[Details]:[Details]])-ROW(Table1[[#Headers],[Details]])),COLUMNS($C$10:BV20))),"")</f>
        <v/>
      </c>
      <c r="BW21" t="str">
        <f>IF(COLUMNS($C$10:BW20)&lt;=$A21,INDEX(Table1[[PARTICULAR]:[PARTICULAR]],_xlfn.AGGREGATE(15,3,(Table1[[#This Row],[Details]:[Details]]=$B21)/(Table1[[#This Row],[Details]:[Details]]=$B21)*(ROW(Table1[[Details]:[Details]])-ROW(Table1[[#Headers],[Details]])),COLUMNS($C$10:BW20))),"")</f>
        <v/>
      </c>
      <c r="BX21" t="str">
        <f>IF(COLUMNS($C$10:BX20)&lt;=$A21,INDEX(Table1[[PARTICULAR]:[PARTICULAR]],_xlfn.AGGREGATE(15,3,(Table1[[#This Row],[Details]:[Details]]=$B21)/(Table1[[#This Row],[Details]:[Details]]=$B21)*(ROW(Table1[[Details]:[Details]])-ROW(Table1[[#Headers],[Details]])),COLUMNS($C$10:BX20))),"")</f>
        <v/>
      </c>
      <c r="BY21" t="str">
        <f>IF(COLUMNS($C$10:BY20)&lt;=$A21,INDEX(Table1[[PARTICULAR]:[PARTICULAR]],_xlfn.AGGREGATE(15,3,(Table1[[#This Row],[Details]:[Details]]=$B21)/(Table1[[#This Row],[Details]:[Details]]=$B21)*(ROW(Table1[[Details]:[Details]])-ROW(Table1[[#Headers],[Details]])),COLUMNS($C$10:BY20))),"")</f>
        <v/>
      </c>
      <c r="BZ21" t="str">
        <f>IF(COLUMNS($C$10:BZ20)&lt;=$A21,INDEX(Table1[[PARTICULAR]:[PARTICULAR]],_xlfn.AGGREGATE(15,3,(Table1[[#This Row],[Details]:[Details]]=$B21)/(Table1[[#This Row],[Details]:[Details]]=$B21)*(ROW(Table1[[Details]:[Details]])-ROW(Table1[[#Headers],[Details]])),COLUMNS($C$10:BZ20))),"")</f>
        <v/>
      </c>
      <c r="CA21" t="str">
        <f>IF(COLUMNS($C$10:CA20)&lt;=$A21,INDEX(Table1[[PARTICULAR]:[PARTICULAR]],_xlfn.AGGREGATE(15,3,(Table1[[#This Row],[Details]:[Details]]=$B21)/(Table1[[#This Row],[Details]:[Details]]=$B21)*(ROW(Table1[[Details]:[Details]])-ROW(Table1[[#Headers],[Details]])),COLUMNS($C$10:CA20))),"")</f>
        <v/>
      </c>
      <c r="CB21" t="str">
        <f>IF(COLUMNS($C$10:CB20)&lt;=$A21,INDEX(Table1[[PARTICULAR]:[PARTICULAR]],_xlfn.AGGREGATE(15,3,(Table1[[#This Row],[Details]:[Details]]=$B21)/(Table1[[#This Row],[Details]:[Details]]=$B21)*(ROW(Table1[[Details]:[Details]])-ROW(Table1[[#Headers],[Details]])),COLUMNS($C$10:CB20))),"")</f>
        <v/>
      </c>
    </row>
    <row r="22" spans="1:80">
      <c r="A22">
        <f>COUNTIF(Table1[Details],B22)</f>
        <v>14</v>
      </c>
      <c r="B22" s="97" t="str">
        <f>IFERROR(INDEX(Table1[Details],MATCH(0,INDEX(COUNTIF($B$10:B21,Table1[Details]),),0)),"")</f>
        <v>Offset</v>
      </c>
      <c r="C22" t="str">
        <f>IF(COLUMNS($C$10:C21)&lt;=$A22,INDEX(Table1[[PARTICULAR]:[PARTICULAR]],_xlfn.AGGREGATE(15,3,(Table1[[#This Row],[Details]:[Details]]=$B22)/(Table1[[#This Row],[Details]:[Details]]=$B22)*(ROW(Table1[[Details]:[Details]])-ROW(Table1[[#Headers],[Details]])),COLUMNS($C$10:C21))),"")</f>
        <v>A3 - Danglers - Offset</v>
      </c>
      <c r="D22" t="str">
        <f>IF(COLUMNS($C$10:D21)&lt;=$A22,INDEX(Table1[[PARTICULAR]:[PARTICULAR]],_xlfn.AGGREGATE(15,3,(Table1[[#This Row],[Details]:[Details]]=$B22)/(Table1[[#This Row],[Details]:[Details]]=$B22)*(ROW(Table1[[Details]:[Details]])-ROW(Table1[[#Headers],[Details]])),COLUMNS($C$10:D21))),"")</f>
        <v>A4 - Signage - Offset</v>
      </c>
      <c r="E22" t="str">
        <f>IF(COLUMNS($C$10:E21)&lt;=$A22,INDEX(Table1[[PARTICULAR]:[PARTICULAR]],_xlfn.AGGREGATE(15,3,(Table1[[#This Row],[Details]:[Details]]=$B22)/(Table1[[#This Row],[Details]:[Details]]=$B22)*(ROW(Table1[[Details]:[Details]])-ROW(Table1[[#Headers],[Details]])),COLUMNS($C$10:E21))),"")</f>
        <v>A5 - Signage - Offset</v>
      </c>
      <c r="F22" t="str">
        <f>IF(COLUMNS($C$10:F21)&lt;=$A22,INDEX(Table1[[PARTICULAR]:[PARTICULAR]],_xlfn.AGGREGATE(15,3,(Table1[[#This Row],[Details]:[Details]]=$B22)/(Table1[[#This Row],[Details]:[Details]]=$B22)*(ROW(Table1[[Details]:[Details]])-ROW(Table1[[#Headers],[Details]])),COLUMNS($C$10:F21))),"")</f>
        <v>Shelf Talker 2" X 5.5" - Offset           </v>
      </c>
      <c r="G22" t="str">
        <f>IF(COLUMNS($C$10:G21)&lt;=$A22,INDEX(Table1[[PARTICULAR]:[PARTICULAR]],_xlfn.AGGREGATE(15,3,(Table1[[#This Row],[Details]:[Details]]=$B22)/(Table1[[#This Row],[Details]:[Details]]=$B22)*(ROW(Table1[[Details]:[Details]])-ROW(Table1[[#Headers],[Details]])),COLUMNS($C$10:G21))),"")</f>
        <v>Shelf Talker 6" X 8" - Offset</v>
      </c>
      <c r="H22" t="str">
        <f>IF(COLUMNS($C$10:H21)&lt;=$A22,INDEX(Table1[[PARTICULAR]:[PARTICULAR]],_xlfn.AGGREGATE(15,3,(Table1[[#This Row],[Details]:[Details]]=$B22)/(Table1[[#This Row],[Details]:[Details]]=$B22)*(ROW(Table1[[Details]:[Details]])-ROW(Table1[[#Headers],[Details]])),COLUMNS($C$10:H21))),"")</f>
        <v>Blank Signage Paper - A4</v>
      </c>
      <c r="I22" t="str">
        <f>IF(COLUMNS($C$10:I21)&lt;=$A22,INDEX(Table1[[PARTICULAR]:[PARTICULAR]],_xlfn.AGGREGATE(15,3,(Table1[[#This Row],[Details]:[Details]]=$B22)/(Table1[[#This Row],[Details]:[Details]]=$B22)*(ROW(Table1[[Details]:[Details]])-ROW(Table1[[#Headers],[Details]])),COLUMNS($C$10:I21))),"")</f>
        <v>Blank Signage Paper - A5</v>
      </c>
      <c r="J22" t="str">
        <f>IF(COLUMNS($C$10:J21)&lt;=$A22,INDEX(Table1[[PARTICULAR]:[PARTICULAR]],_xlfn.AGGREGATE(15,3,(Table1[[#This Row],[Details]:[Details]]=$B22)/(Table1[[#This Row],[Details]:[Details]]=$B22)*(ROW(Table1[[Details]:[Details]])-ROW(Table1[[#Headers],[Details]])),COLUMNS($C$10:J21))),"")</f>
        <v>A3 Generic Signage Offset </v>
      </c>
      <c r="K22" t="str">
        <f>IF(COLUMNS($C$10:K21)&lt;=$A22,INDEX(Table1[[PARTICULAR]:[PARTICULAR]],_xlfn.AGGREGATE(15,3,(Table1[[#This Row],[Details]:[Details]]=$B22)/(Table1[[#This Row],[Details]:[Details]]=$B22)*(ROW(Table1[[Details]:[Details]])-ROW(Table1[[#Headers],[Details]])),COLUMNS($C$10:K21))),"")</f>
        <v>A4 Generic Signage Offset </v>
      </c>
      <c r="L22" t="str">
        <f>IF(COLUMNS($C$10:L21)&lt;=$A22,INDEX(Table1[[PARTICULAR]:[PARTICULAR]],_xlfn.AGGREGATE(15,3,(Table1[[#This Row],[Details]:[Details]]=$B22)/(Table1[[#This Row],[Details]:[Details]]=$B22)*(ROW(Table1[[Details]:[Details]])-ROW(Table1[[#Headers],[Details]])),COLUMNS($C$10:L21))),"")</f>
        <v>A5 Generic Signage Offset </v>
      </c>
      <c r="M22" t="str">
        <f>IF(COLUMNS($C$10:M21)&lt;=$A22,INDEX(Table1[[PARTICULAR]:[PARTICULAR]],_xlfn.AGGREGATE(15,3,(Table1[[#This Row],[Details]:[Details]]=$B22)/(Table1[[#This Row],[Details]:[Details]]=$B22)*(ROW(Table1[[Details]:[Details]])-ROW(Table1[[#Headers],[Details]])),COLUMNS($C$10:M21))),"")</f>
        <v>A3 - Signage - Offset</v>
      </c>
      <c r="N22" t="str">
        <f>IF(COLUMNS($C$10:N21)&lt;=$A22,INDEX(Table1[[PARTICULAR]:[PARTICULAR]],_xlfn.AGGREGATE(15,3,(Table1[[#This Row],[Details]:[Details]]=$B22)/(Table1[[#This Row],[Details]:[Details]]=$B22)*(ROW(Table1[[Details]:[Details]])-ROW(Table1[[#Headers],[Details]])),COLUMNS($C$10:N21))),"")</f>
        <v>A3 CALENDAR</v>
      </c>
      <c r="O22" t="str">
        <f>IF(COLUMNS($C$10:O21)&lt;=$A22,INDEX(Table1[[PARTICULAR]:[PARTICULAR]],_xlfn.AGGREGATE(15,3,(Table1[[#This Row],[Details]:[Details]]=$B22)/(Table1[[#This Row],[Details]:[Details]]=$B22)*(ROW(Table1[[Details]:[Details]])-ROW(Table1[[#Headers],[Details]])),COLUMNS($C$10:O21))),"")</f>
        <v>Was Now TAG </v>
      </c>
      <c r="P22" t="str">
        <f>IF(COLUMNS($C$10:P21)&lt;=$A22,INDEX(Table1[[PARTICULAR]:[PARTICULAR]],_xlfn.AGGREGATE(15,3,(Table1[[#This Row],[Details]:[Details]]=$B22)/(Table1[[#This Row],[Details]:[Details]]=$B22)*(ROW(Table1[[Details]:[Details]])-ROW(Table1[[#Headers],[Details]])),COLUMNS($C$10:P21))),"")</f>
        <v>Wobbler Printing - Offset</v>
      </c>
      <c r="Q22" t="str">
        <f>IF(COLUMNS($C$10:Q21)&lt;=$A22,INDEX(Table1[[PARTICULAR]:[PARTICULAR]],_xlfn.AGGREGATE(15,3,(Table1[[#This Row],[Details]:[Details]]=$B22)/(Table1[[#This Row],[Details]:[Details]]=$B22)*(ROW(Table1[[Details]:[Details]])-ROW(Table1[[#Headers],[Details]])),COLUMNS($C$10:Q21))),"")</f>
        <v/>
      </c>
      <c r="R22" t="str">
        <f>IF(COLUMNS($C$10:R21)&lt;=$A22,INDEX(Table1[[PARTICULAR]:[PARTICULAR]],_xlfn.AGGREGATE(15,3,(Table1[[#This Row],[Details]:[Details]]=$B22)/(Table1[[#This Row],[Details]:[Details]]=$B22)*(ROW(Table1[[Details]:[Details]])-ROW(Table1[[#Headers],[Details]])),COLUMNS($C$10:R21))),"")</f>
        <v/>
      </c>
      <c r="S22" t="str">
        <f>IF(COLUMNS($C$10:S21)&lt;=$A22,INDEX(Table1[[PARTICULAR]:[PARTICULAR]],_xlfn.AGGREGATE(15,3,(Table1[[#This Row],[Details]:[Details]]=$B22)/(Table1[[#This Row],[Details]:[Details]]=$B22)*(ROW(Table1[[Details]:[Details]])-ROW(Table1[[#Headers],[Details]])),COLUMNS($C$10:S21))),"")</f>
        <v/>
      </c>
      <c r="T22" t="str">
        <f>IF(COLUMNS($C$10:T21)&lt;=$A22,INDEX(Table1[[PARTICULAR]:[PARTICULAR]],_xlfn.AGGREGATE(15,3,(Table1[[#This Row],[Details]:[Details]]=$B22)/(Table1[[#This Row],[Details]:[Details]]=$B22)*(ROW(Table1[[Details]:[Details]])-ROW(Table1[[#Headers],[Details]])),COLUMNS($C$10:T21))),"")</f>
        <v/>
      </c>
      <c r="U22" t="str">
        <f>IF(COLUMNS($C$10:U21)&lt;=$A22,INDEX(Table1[[PARTICULAR]:[PARTICULAR]],_xlfn.AGGREGATE(15,3,(Table1[[#This Row],[Details]:[Details]]=$B22)/(Table1[[#This Row],[Details]:[Details]]=$B22)*(ROW(Table1[[Details]:[Details]])-ROW(Table1[[#Headers],[Details]])),COLUMNS($C$10:U21))),"")</f>
        <v/>
      </c>
      <c r="V22" t="str">
        <f>IF(COLUMNS($C$10:V21)&lt;=$A22,INDEX(Table1[[PARTICULAR]:[PARTICULAR]],_xlfn.AGGREGATE(15,3,(Table1[[#This Row],[Details]:[Details]]=$B22)/(Table1[[#This Row],[Details]:[Details]]=$B22)*(ROW(Table1[[Details]:[Details]])-ROW(Table1[[#Headers],[Details]])),COLUMNS($C$10:V21))),"")</f>
        <v/>
      </c>
      <c r="W22" t="str">
        <f>IF(COLUMNS($C$10:W21)&lt;=$A22,INDEX(Table1[[PARTICULAR]:[PARTICULAR]],_xlfn.AGGREGATE(15,3,(Table1[[#This Row],[Details]:[Details]]=$B22)/(Table1[[#This Row],[Details]:[Details]]=$B22)*(ROW(Table1[[Details]:[Details]])-ROW(Table1[[#Headers],[Details]])),COLUMNS($C$10:W21))),"")</f>
        <v/>
      </c>
      <c r="X22" t="str">
        <f>IF(COLUMNS($C$10:X21)&lt;=$A22,INDEX(Table1[[PARTICULAR]:[PARTICULAR]],_xlfn.AGGREGATE(15,3,(Table1[[#This Row],[Details]:[Details]]=$B22)/(Table1[[#This Row],[Details]:[Details]]=$B22)*(ROW(Table1[[Details]:[Details]])-ROW(Table1[[#Headers],[Details]])),COLUMNS($C$10:X21))),"")</f>
        <v/>
      </c>
      <c r="Y22" t="str">
        <f>IF(COLUMNS($C$10:Y21)&lt;=$A22,INDEX(Table1[[PARTICULAR]:[PARTICULAR]],_xlfn.AGGREGATE(15,3,(Table1[[#This Row],[Details]:[Details]]=$B22)/(Table1[[#This Row],[Details]:[Details]]=$B22)*(ROW(Table1[[Details]:[Details]])-ROW(Table1[[#Headers],[Details]])),COLUMNS($C$10:Y21))),"")</f>
        <v/>
      </c>
      <c r="Z22" t="str">
        <f>IF(COLUMNS($C$10:Z21)&lt;=$A22,INDEX(Table1[[PARTICULAR]:[PARTICULAR]],_xlfn.AGGREGATE(15,3,(Table1[[#This Row],[Details]:[Details]]=$B22)/(Table1[[#This Row],[Details]:[Details]]=$B22)*(ROW(Table1[[Details]:[Details]])-ROW(Table1[[#Headers],[Details]])),COLUMNS($C$10:Z21))),"")</f>
        <v/>
      </c>
      <c r="AA22" t="str">
        <f>IF(COLUMNS($C$10:AA21)&lt;=$A22,INDEX(Table1[[PARTICULAR]:[PARTICULAR]],_xlfn.AGGREGATE(15,3,(Table1[[#This Row],[Details]:[Details]]=$B22)/(Table1[[#This Row],[Details]:[Details]]=$B22)*(ROW(Table1[[Details]:[Details]])-ROW(Table1[[#Headers],[Details]])),COLUMNS($C$10:AA21))),"")</f>
        <v/>
      </c>
      <c r="AB22" t="str">
        <f>IF(COLUMNS($C$10:AB21)&lt;=$A22,INDEX(Table1[[PARTICULAR]:[PARTICULAR]],_xlfn.AGGREGATE(15,3,(Table1[[#This Row],[Details]:[Details]]=$B22)/(Table1[[#This Row],[Details]:[Details]]=$B22)*(ROW(Table1[[Details]:[Details]])-ROW(Table1[[#Headers],[Details]])),COLUMNS($C$10:AB21))),"")</f>
        <v/>
      </c>
      <c r="AC22" t="str">
        <f>IF(COLUMNS($C$10:AC21)&lt;=$A22,INDEX(Table1[[PARTICULAR]:[PARTICULAR]],_xlfn.AGGREGATE(15,3,(Table1[[#This Row],[Details]:[Details]]=$B22)/(Table1[[#This Row],[Details]:[Details]]=$B22)*(ROW(Table1[[Details]:[Details]])-ROW(Table1[[#Headers],[Details]])),COLUMNS($C$10:AC21))),"")</f>
        <v/>
      </c>
      <c r="AD22" t="str">
        <f>IF(COLUMNS($C$10:AD21)&lt;=$A22,INDEX(Table1[[PARTICULAR]:[PARTICULAR]],_xlfn.AGGREGATE(15,3,(Table1[[#This Row],[Details]:[Details]]=$B22)/(Table1[[#This Row],[Details]:[Details]]=$B22)*(ROW(Table1[[Details]:[Details]])-ROW(Table1[[#Headers],[Details]])),COLUMNS($C$10:AD21))),"")</f>
        <v/>
      </c>
      <c r="AE22" t="str">
        <f>IF(COLUMNS($C$10:AE21)&lt;=$A22,INDEX(Table1[[PARTICULAR]:[PARTICULAR]],_xlfn.AGGREGATE(15,3,(Table1[[#This Row],[Details]:[Details]]=$B22)/(Table1[[#This Row],[Details]:[Details]]=$B22)*(ROW(Table1[[Details]:[Details]])-ROW(Table1[[#Headers],[Details]])),COLUMNS($C$10:AE21))),"")</f>
        <v/>
      </c>
      <c r="AF22" t="str">
        <f>IF(COLUMNS($C$10:AF21)&lt;=$A22,INDEX(Table1[[PARTICULAR]:[PARTICULAR]],_xlfn.AGGREGATE(15,3,(Table1[[#This Row],[Details]:[Details]]=$B22)/(Table1[[#This Row],[Details]:[Details]]=$B22)*(ROW(Table1[[Details]:[Details]])-ROW(Table1[[#Headers],[Details]])),COLUMNS($C$10:AF21))),"")</f>
        <v/>
      </c>
      <c r="AG22" t="str">
        <f>IF(COLUMNS($C$10:AG21)&lt;=$A22,INDEX(Table1[[PARTICULAR]:[PARTICULAR]],_xlfn.AGGREGATE(15,3,(Table1[[#This Row],[Details]:[Details]]=$B22)/(Table1[[#This Row],[Details]:[Details]]=$B22)*(ROW(Table1[[Details]:[Details]])-ROW(Table1[[#Headers],[Details]])),COLUMNS($C$10:AG21))),"")</f>
        <v/>
      </c>
      <c r="AH22" t="str">
        <f>IF(COLUMNS($C$10:AH21)&lt;=$A22,INDEX(Table1[[PARTICULAR]:[PARTICULAR]],_xlfn.AGGREGATE(15,3,(Table1[[#This Row],[Details]:[Details]]=$B22)/(Table1[[#This Row],[Details]:[Details]]=$B22)*(ROW(Table1[[Details]:[Details]])-ROW(Table1[[#Headers],[Details]])),COLUMNS($C$10:AH21))),"")</f>
        <v/>
      </c>
      <c r="AI22" t="str">
        <f>IF(COLUMNS($C$10:AI21)&lt;=$A22,INDEX(Table1[[PARTICULAR]:[PARTICULAR]],_xlfn.AGGREGATE(15,3,(Table1[[#This Row],[Details]:[Details]]=$B22)/(Table1[[#This Row],[Details]:[Details]]=$B22)*(ROW(Table1[[Details]:[Details]])-ROW(Table1[[#Headers],[Details]])),COLUMNS($C$10:AI21))),"")</f>
        <v/>
      </c>
      <c r="AJ22" t="str">
        <f>IF(COLUMNS($C$10:AJ21)&lt;=$A22,INDEX(Table1[[PARTICULAR]:[PARTICULAR]],_xlfn.AGGREGATE(15,3,(Table1[[#This Row],[Details]:[Details]]=$B22)/(Table1[[#This Row],[Details]:[Details]]=$B22)*(ROW(Table1[[Details]:[Details]])-ROW(Table1[[#Headers],[Details]])),COLUMNS($C$10:AJ21))),"")</f>
        <v/>
      </c>
      <c r="AK22" t="str">
        <f>IF(COLUMNS($C$10:AK21)&lt;=$A22,INDEX(Table1[[PARTICULAR]:[PARTICULAR]],_xlfn.AGGREGATE(15,3,(Table1[[#This Row],[Details]:[Details]]=$B22)/(Table1[[#This Row],[Details]:[Details]]=$B22)*(ROW(Table1[[Details]:[Details]])-ROW(Table1[[#Headers],[Details]])),COLUMNS($C$10:AK21))),"")</f>
        <v/>
      </c>
      <c r="AL22" t="str">
        <f>IF(COLUMNS($C$10:AL21)&lt;=$A22,INDEX(Table1[[PARTICULAR]:[PARTICULAR]],_xlfn.AGGREGATE(15,3,(Table1[[#This Row],[Details]:[Details]]=$B22)/(Table1[[#This Row],[Details]:[Details]]=$B22)*(ROW(Table1[[Details]:[Details]])-ROW(Table1[[#Headers],[Details]])),COLUMNS($C$10:AL21))),"")</f>
        <v/>
      </c>
      <c r="AM22" t="str">
        <f>IF(COLUMNS($C$10:AM21)&lt;=$A22,INDEX(Table1[[PARTICULAR]:[PARTICULAR]],_xlfn.AGGREGATE(15,3,(Table1[[#This Row],[Details]:[Details]]=$B22)/(Table1[[#This Row],[Details]:[Details]]=$B22)*(ROW(Table1[[Details]:[Details]])-ROW(Table1[[#Headers],[Details]])),COLUMNS($C$10:AM21))),"")</f>
        <v/>
      </c>
      <c r="AN22" t="str">
        <f>IF(COLUMNS($C$10:AN21)&lt;=$A22,INDEX(Table1[[PARTICULAR]:[PARTICULAR]],_xlfn.AGGREGATE(15,3,(Table1[[#This Row],[Details]:[Details]]=$B22)/(Table1[[#This Row],[Details]:[Details]]=$B22)*(ROW(Table1[[Details]:[Details]])-ROW(Table1[[#Headers],[Details]])),COLUMNS($C$10:AN21))),"")</f>
        <v/>
      </c>
      <c r="AO22" t="str">
        <f>IF(COLUMNS($C$10:AO21)&lt;=$A22,INDEX(Table1[[PARTICULAR]:[PARTICULAR]],_xlfn.AGGREGATE(15,3,(Table1[[#This Row],[Details]:[Details]]=$B22)/(Table1[[#This Row],[Details]:[Details]]=$B22)*(ROW(Table1[[Details]:[Details]])-ROW(Table1[[#Headers],[Details]])),COLUMNS($C$10:AO21))),"")</f>
        <v/>
      </c>
      <c r="AP22" t="str">
        <f>IF(COLUMNS($C$10:AP21)&lt;=$A22,INDEX(Table1[[PARTICULAR]:[PARTICULAR]],_xlfn.AGGREGATE(15,3,(Table1[[#This Row],[Details]:[Details]]=$B22)/(Table1[[#This Row],[Details]:[Details]]=$B22)*(ROW(Table1[[Details]:[Details]])-ROW(Table1[[#Headers],[Details]])),COLUMNS($C$10:AP21))),"")</f>
        <v/>
      </c>
      <c r="AQ22" t="str">
        <f>IF(COLUMNS($C$10:AQ21)&lt;=$A22,INDEX(Table1[[PARTICULAR]:[PARTICULAR]],_xlfn.AGGREGATE(15,3,(Table1[[#This Row],[Details]:[Details]]=$B22)/(Table1[[#This Row],[Details]:[Details]]=$B22)*(ROW(Table1[[Details]:[Details]])-ROW(Table1[[#Headers],[Details]])),COLUMNS($C$10:AQ21))),"")</f>
        <v/>
      </c>
      <c r="AR22" t="str">
        <f>IF(COLUMNS($C$10:AR21)&lt;=$A22,INDEX(Table1[[PARTICULAR]:[PARTICULAR]],_xlfn.AGGREGATE(15,3,(Table1[[#This Row],[Details]:[Details]]=$B22)/(Table1[[#This Row],[Details]:[Details]]=$B22)*(ROW(Table1[[Details]:[Details]])-ROW(Table1[[#Headers],[Details]])),COLUMNS($C$10:AR21))),"")</f>
        <v/>
      </c>
      <c r="AS22" t="str">
        <f>IF(COLUMNS($C$10:AS21)&lt;=$A22,INDEX(Table1[[PARTICULAR]:[PARTICULAR]],_xlfn.AGGREGATE(15,3,(Table1[[#This Row],[Details]:[Details]]=$B22)/(Table1[[#This Row],[Details]:[Details]]=$B22)*(ROW(Table1[[Details]:[Details]])-ROW(Table1[[#Headers],[Details]])),COLUMNS($C$10:AS21))),"")</f>
        <v/>
      </c>
      <c r="AT22" t="str">
        <f>IF(COLUMNS($C$10:AT21)&lt;=$A22,INDEX(Table1[[PARTICULAR]:[PARTICULAR]],_xlfn.AGGREGATE(15,3,(Table1[[#This Row],[Details]:[Details]]=$B22)/(Table1[[#This Row],[Details]:[Details]]=$B22)*(ROW(Table1[[Details]:[Details]])-ROW(Table1[[#Headers],[Details]])),COLUMNS($C$10:AT21))),"")</f>
        <v/>
      </c>
      <c r="AU22" t="str">
        <f>IF(COLUMNS($C$10:AU21)&lt;=$A22,INDEX(Table1[[PARTICULAR]:[PARTICULAR]],_xlfn.AGGREGATE(15,3,(Table1[[#This Row],[Details]:[Details]]=$B22)/(Table1[[#This Row],[Details]:[Details]]=$B22)*(ROW(Table1[[Details]:[Details]])-ROW(Table1[[#Headers],[Details]])),COLUMNS($C$10:AU21))),"")</f>
        <v/>
      </c>
      <c r="AV22" t="str">
        <f>IF(COLUMNS($C$10:AV21)&lt;=$A22,INDEX(Table1[[PARTICULAR]:[PARTICULAR]],_xlfn.AGGREGATE(15,3,(Table1[[#This Row],[Details]:[Details]]=$B22)/(Table1[[#This Row],[Details]:[Details]]=$B22)*(ROW(Table1[[Details]:[Details]])-ROW(Table1[[#Headers],[Details]])),COLUMNS($C$10:AV21))),"")</f>
        <v/>
      </c>
      <c r="AW22" t="str">
        <f>IF(COLUMNS($C$10:AW21)&lt;=$A22,INDEX(Table1[[PARTICULAR]:[PARTICULAR]],_xlfn.AGGREGATE(15,3,(Table1[[#This Row],[Details]:[Details]]=$B22)/(Table1[[#This Row],[Details]:[Details]]=$B22)*(ROW(Table1[[Details]:[Details]])-ROW(Table1[[#Headers],[Details]])),COLUMNS($C$10:AW21))),"")</f>
        <v/>
      </c>
      <c r="AX22" t="str">
        <f>IF(COLUMNS($C$10:AX21)&lt;=$A22,INDEX(Table1[[PARTICULAR]:[PARTICULAR]],_xlfn.AGGREGATE(15,3,(Table1[[#This Row],[Details]:[Details]]=$B22)/(Table1[[#This Row],[Details]:[Details]]=$B22)*(ROW(Table1[[Details]:[Details]])-ROW(Table1[[#Headers],[Details]])),COLUMNS($C$10:AX21))),"")</f>
        <v/>
      </c>
      <c r="AY22" t="str">
        <f>IF(COLUMNS($C$10:AY21)&lt;=$A22,INDEX(Table1[[PARTICULAR]:[PARTICULAR]],_xlfn.AGGREGATE(15,3,(Table1[[#This Row],[Details]:[Details]]=$B22)/(Table1[[#This Row],[Details]:[Details]]=$B22)*(ROW(Table1[[Details]:[Details]])-ROW(Table1[[#Headers],[Details]])),COLUMNS($C$10:AY21))),"")</f>
        <v/>
      </c>
      <c r="AZ22" t="str">
        <f>IF(COLUMNS($C$10:AZ21)&lt;=$A22,INDEX(Table1[[PARTICULAR]:[PARTICULAR]],_xlfn.AGGREGATE(15,3,(Table1[[#This Row],[Details]:[Details]]=$B22)/(Table1[[#This Row],[Details]:[Details]]=$B22)*(ROW(Table1[[Details]:[Details]])-ROW(Table1[[#Headers],[Details]])),COLUMNS($C$10:AZ21))),"")</f>
        <v/>
      </c>
      <c r="BA22" t="str">
        <f>IF(COLUMNS($C$10:BA21)&lt;=$A22,INDEX(Table1[[PARTICULAR]:[PARTICULAR]],_xlfn.AGGREGATE(15,3,(Table1[[#This Row],[Details]:[Details]]=$B22)/(Table1[[#This Row],[Details]:[Details]]=$B22)*(ROW(Table1[[Details]:[Details]])-ROW(Table1[[#Headers],[Details]])),COLUMNS($C$10:BA21))),"")</f>
        <v/>
      </c>
      <c r="BB22" t="str">
        <f>IF(COLUMNS($C$10:BB21)&lt;=$A22,INDEX(Table1[[PARTICULAR]:[PARTICULAR]],_xlfn.AGGREGATE(15,3,(Table1[[#This Row],[Details]:[Details]]=$B22)/(Table1[[#This Row],[Details]:[Details]]=$B22)*(ROW(Table1[[Details]:[Details]])-ROW(Table1[[#Headers],[Details]])),COLUMNS($C$10:BB21))),"")</f>
        <v/>
      </c>
      <c r="BC22" t="str">
        <f>IF(COLUMNS($C$10:BC21)&lt;=$A22,INDEX(Table1[[PARTICULAR]:[PARTICULAR]],_xlfn.AGGREGATE(15,3,(Table1[[#This Row],[Details]:[Details]]=$B22)/(Table1[[#This Row],[Details]:[Details]]=$B22)*(ROW(Table1[[Details]:[Details]])-ROW(Table1[[#Headers],[Details]])),COLUMNS($C$10:BC21))),"")</f>
        <v/>
      </c>
      <c r="BD22" t="str">
        <f>IF(COLUMNS($C$10:BD21)&lt;=$A22,INDEX(Table1[[PARTICULAR]:[PARTICULAR]],_xlfn.AGGREGATE(15,3,(Table1[[#This Row],[Details]:[Details]]=$B22)/(Table1[[#This Row],[Details]:[Details]]=$B22)*(ROW(Table1[[Details]:[Details]])-ROW(Table1[[#Headers],[Details]])),COLUMNS($C$10:BD21))),"")</f>
        <v/>
      </c>
      <c r="BE22" t="str">
        <f>IF(COLUMNS($C$10:BE21)&lt;=$A22,INDEX(Table1[[PARTICULAR]:[PARTICULAR]],_xlfn.AGGREGATE(15,3,(Table1[[#This Row],[Details]:[Details]]=$B22)/(Table1[[#This Row],[Details]:[Details]]=$B22)*(ROW(Table1[[Details]:[Details]])-ROW(Table1[[#Headers],[Details]])),COLUMNS($C$10:BE21))),"")</f>
        <v/>
      </c>
      <c r="BF22" t="str">
        <f>IF(COLUMNS($C$10:BF21)&lt;=$A22,INDEX(Table1[[PARTICULAR]:[PARTICULAR]],_xlfn.AGGREGATE(15,3,(Table1[[#This Row],[Details]:[Details]]=$B22)/(Table1[[#This Row],[Details]:[Details]]=$B22)*(ROW(Table1[[Details]:[Details]])-ROW(Table1[[#Headers],[Details]])),COLUMNS($C$10:BF21))),"")</f>
        <v/>
      </c>
      <c r="BG22" t="str">
        <f>IF(COLUMNS($C$10:BG21)&lt;=$A22,INDEX(Table1[[PARTICULAR]:[PARTICULAR]],_xlfn.AGGREGATE(15,3,(Table1[[#This Row],[Details]:[Details]]=$B22)/(Table1[[#This Row],[Details]:[Details]]=$B22)*(ROW(Table1[[Details]:[Details]])-ROW(Table1[[#Headers],[Details]])),COLUMNS($C$10:BG21))),"")</f>
        <v/>
      </c>
      <c r="BH22" t="str">
        <f>IF(COLUMNS($C$10:BH21)&lt;=$A22,INDEX(Table1[[PARTICULAR]:[PARTICULAR]],_xlfn.AGGREGATE(15,3,(Table1[[#This Row],[Details]:[Details]]=$B22)/(Table1[[#This Row],[Details]:[Details]]=$B22)*(ROW(Table1[[Details]:[Details]])-ROW(Table1[[#Headers],[Details]])),COLUMNS($C$10:BH21))),"")</f>
        <v/>
      </c>
      <c r="BI22" t="str">
        <f>IF(COLUMNS($C$10:BI21)&lt;=$A22,INDEX(Table1[[PARTICULAR]:[PARTICULAR]],_xlfn.AGGREGATE(15,3,(Table1[[#This Row],[Details]:[Details]]=$B22)/(Table1[[#This Row],[Details]:[Details]]=$B22)*(ROW(Table1[[Details]:[Details]])-ROW(Table1[[#Headers],[Details]])),COLUMNS($C$10:BI21))),"")</f>
        <v/>
      </c>
      <c r="BJ22" t="str">
        <f>IF(COLUMNS($C$10:BJ21)&lt;=$A22,INDEX(Table1[[PARTICULAR]:[PARTICULAR]],_xlfn.AGGREGATE(15,3,(Table1[[#This Row],[Details]:[Details]]=$B22)/(Table1[[#This Row],[Details]:[Details]]=$B22)*(ROW(Table1[[Details]:[Details]])-ROW(Table1[[#Headers],[Details]])),COLUMNS($C$10:BJ21))),"")</f>
        <v/>
      </c>
      <c r="BK22" t="str">
        <f>IF(COLUMNS($C$10:BK21)&lt;=$A22,INDEX(Table1[[PARTICULAR]:[PARTICULAR]],_xlfn.AGGREGATE(15,3,(Table1[[#This Row],[Details]:[Details]]=$B22)/(Table1[[#This Row],[Details]:[Details]]=$B22)*(ROW(Table1[[Details]:[Details]])-ROW(Table1[[#Headers],[Details]])),COLUMNS($C$10:BK21))),"")</f>
        <v/>
      </c>
      <c r="BL22" t="str">
        <f>IF(COLUMNS($C$10:BL21)&lt;=$A22,INDEX(Table1[[PARTICULAR]:[PARTICULAR]],_xlfn.AGGREGATE(15,3,(Table1[[#This Row],[Details]:[Details]]=$B22)/(Table1[[#This Row],[Details]:[Details]]=$B22)*(ROW(Table1[[Details]:[Details]])-ROW(Table1[[#Headers],[Details]])),COLUMNS($C$10:BL21))),"")</f>
        <v/>
      </c>
      <c r="BM22" t="str">
        <f>IF(COLUMNS($C$10:BM21)&lt;=$A22,INDEX(Table1[[PARTICULAR]:[PARTICULAR]],_xlfn.AGGREGATE(15,3,(Table1[[#This Row],[Details]:[Details]]=$B22)/(Table1[[#This Row],[Details]:[Details]]=$B22)*(ROW(Table1[[Details]:[Details]])-ROW(Table1[[#Headers],[Details]])),COLUMNS($C$10:BM21))),"")</f>
        <v/>
      </c>
      <c r="BN22" t="str">
        <f>IF(COLUMNS($C$10:BN21)&lt;=$A22,INDEX(Table1[[PARTICULAR]:[PARTICULAR]],_xlfn.AGGREGATE(15,3,(Table1[[#This Row],[Details]:[Details]]=$B22)/(Table1[[#This Row],[Details]:[Details]]=$B22)*(ROW(Table1[[Details]:[Details]])-ROW(Table1[[#Headers],[Details]])),COLUMNS($C$10:BN21))),"")</f>
        <v/>
      </c>
      <c r="BO22" t="str">
        <f>IF(COLUMNS($C$10:BO21)&lt;=$A22,INDEX(Table1[[PARTICULAR]:[PARTICULAR]],_xlfn.AGGREGATE(15,3,(Table1[[#This Row],[Details]:[Details]]=$B22)/(Table1[[#This Row],[Details]:[Details]]=$B22)*(ROW(Table1[[Details]:[Details]])-ROW(Table1[[#Headers],[Details]])),COLUMNS($C$10:BO21))),"")</f>
        <v/>
      </c>
      <c r="BP22" t="str">
        <f>IF(COLUMNS($C$10:BP21)&lt;=$A22,INDEX(Table1[[PARTICULAR]:[PARTICULAR]],_xlfn.AGGREGATE(15,3,(Table1[[#This Row],[Details]:[Details]]=$B22)/(Table1[[#This Row],[Details]:[Details]]=$B22)*(ROW(Table1[[Details]:[Details]])-ROW(Table1[[#Headers],[Details]])),COLUMNS($C$10:BP21))),"")</f>
        <v/>
      </c>
      <c r="BQ22" t="str">
        <f>IF(COLUMNS($C$10:BQ21)&lt;=$A22,INDEX(Table1[[PARTICULAR]:[PARTICULAR]],_xlfn.AGGREGATE(15,3,(Table1[[#This Row],[Details]:[Details]]=$B22)/(Table1[[#This Row],[Details]:[Details]]=$B22)*(ROW(Table1[[Details]:[Details]])-ROW(Table1[[#Headers],[Details]])),COLUMNS($C$10:BQ21))),"")</f>
        <v/>
      </c>
      <c r="BR22" t="str">
        <f>IF(COLUMNS($C$10:BR21)&lt;=$A22,INDEX(Table1[[PARTICULAR]:[PARTICULAR]],_xlfn.AGGREGATE(15,3,(Table1[[#This Row],[Details]:[Details]]=$B22)/(Table1[[#This Row],[Details]:[Details]]=$B22)*(ROW(Table1[[Details]:[Details]])-ROW(Table1[[#Headers],[Details]])),COLUMNS($C$10:BR21))),"")</f>
        <v/>
      </c>
      <c r="BS22" t="str">
        <f>IF(COLUMNS($C$10:BS21)&lt;=$A22,INDEX(Table1[[PARTICULAR]:[PARTICULAR]],_xlfn.AGGREGATE(15,3,(Table1[[#This Row],[Details]:[Details]]=$B22)/(Table1[[#This Row],[Details]:[Details]]=$B22)*(ROW(Table1[[Details]:[Details]])-ROW(Table1[[#Headers],[Details]])),COLUMNS($C$10:BS21))),"")</f>
        <v/>
      </c>
      <c r="BT22" t="str">
        <f>IF(COLUMNS($C$10:BT21)&lt;=$A22,INDEX(Table1[[PARTICULAR]:[PARTICULAR]],_xlfn.AGGREGATE(15,3,(Table1[[#This Row],[Details]:[Details]]=$B22)/(Table1[[#This Row],[Details]:[Details]]=$B22)*(ROW(Table1[[Details]:[Details]])-ROW(Table1[[#Headers],[Details]])),COLUMNS($C$10:BT21))),"")</f>
        <v/>
      </c>
      <c r="BU22" t="str">
        <f>IF(COLUMNS($C$10:BU21)&lt;=$A22,INDEX(Table1[[PARTICULAR]:[PARTICULAR]],_xlfn.AGGREGATE(15,3,(Table1[[#This Row],[Details]:[Details]]=$B22)/(Table1[[#This Row],[Details]:[Details]]=$B22)*(ROW(Table1[[Details]:[Details]])-ROW(Table1[[#Headers],[Details]])),COLUMNS($C$10:BU21))),"")</f>
        <v/>
      </c>
      <c r="BV22" t="str">
        <f>IF(COLUMNS($C$10:BV21)&lt;=$A22,INDEX(Table1[[PARTICULAR]:[PARTICULAR]],_xlfn.AGGREGATE(15,3,(Table1[[#This Row],[Details]:[Details]]=$B22)/(Table1[[#This Row],[Details]:[Details]]=$B22)*(ROW(Table1[[Details]:[Details]])-ROW(Table1[[#Headers],[Details]])),COLUMNS($C$10:BV21))),"")</f>
        <v/>
      </c>
      <c r="BW22" t="str">
        <f>IF(COLUMNS($C$10:BW21)&lt;=$A22,INDEX(Table1[[PARTICULAR]:[PARTICULAR]],_xlfn.AGGREGATE(15,3,(Table1[[#This Row],[Details]:[Details]]=$B22)/(Table1[[#This Row],[Details]:[Details]]=$B22)*(ROW(Table1[[Details]:[Details]])-ROW(Table1[[#Headers],[Details]])),COLUMNS($C$10:BW21))),"")</f>
        <v/>
      </c>
      <c r="BX22" t="str">
        <f>IF(COLUMNS($C$10:BX21)&lt;=$A22,INDEX(Table1[[PARTICULAR]:[PARTICULAR]],_xlfn.AGGREGATE(15,3,(Table1[[#This Row],[Details]:[Details]]=$B22)/(Table1[[#This Row],[Details]:[Details]]=$B22)*(ROW(Table1[[Details]:[Details]])-ROW(Table1[[#Headers],[Details]])),COLUMNS($C$10:BX21))),"")</f>
        <v/>
      </c>
      <c r="BY22" t="str">
        <f>IF(COLUMNS($C$10:BY21)&lt;=$A22,INDEX(Table1[[PARTICULAR]:[PARTICULAR]],_xlfn.AGGREGATE(15,3,(Table1[[#This Row],[Details]:[Details]]=$B22)/(Table1[[#This Row],[Details]:[Details]]=$B22)*(ROW(Table1[[Details]:[Details]])-ROW(Table1[[#Headers],[Details]])),COLUMNS($C$10:BY21))),"")</f>
        <v/>
      </c>
      <c r="BZ22" t="str">
        <f>IF(COLUMNS($C$10:BZ21)&lt;=$A22,INDEX(Table1[[PARTICULAR]:[PARTICULAR]],_xlfn.AGGREGATE(15,3,(Table1[[#This Row],[Details]:[Details]]=$B22)/(Table1[[#This Row],[Details]:[Details]]=$B22)*(ROW(Table1[[Details]:[Details]])-ROW(Table1[[#Headers],[Details]])),COLUMNS($C$10:BZ21))),"")</f>
        <v/>
      </c>
      <c r="CA22" t="str">
        <f>IF(COLUMNS($C$10:CA21)&lt;=$A22,INDEX(Table1[[PARTICULAR]:[PARTICULAR]],_xlfn.AGGREGATE(15,3,(Table1[[#This Row],[Details]:[Details]]=$B22)/(Table1[[#This Row],[Details]:[Details]]=$B22)*(ROW(Table1[[Details]:[Details]])-ROW(Table1[[#Headers],[Details]])),COLUMNS($C$10:CA21))),"")</f>
        <v/>
      </c>
      <c r="CB22" t="str">
        <f>IF(COLUMNS($C$10:CB21)&lt;=$A22,INDEX(Table1[[PARTICULAR]:[PARTICULAR]],_xlfn.AGGREGATE(15,3,(Table1[[#This Row],[Details]:[Details]]=$B22)/(Table1[[#This Row],[Details]:[Details]]=$B22)*(ROW(Table1[[Details]:[Details]])-ROW(Table1[[#Headers],[Details]])),COLUMNS($C$10:CB21))),"")</f>
        <v/>
      </c>
    </row>
    <row r="23" spans="1:80">
      <c r="A23">
        <f>COUNTIF(Table1[Details],B23)</f>
        <v>5</v>
      </c>
      <c r="B23" s="97" t="str">
        <f>IFERROR(INDEX(Table1[Details],MATCH(0,INDEX(COUNTIF($B$10:B22,Table1[Details]),),0)),"")</f>
        <v>Pasting</v>
      </c>
      <c r="C23" t="str">
        <f>IF(COLUMNS($C$10:C22)&lt;=$A23,INDEX(Table1[[PARTICULAR]:[PARTICULAR]],_xlfn.AGGREGATE(15,3,(Table1[[#This Row],[Details]:[Details]]=$B23)/(Table1[[#This Row],[Details]:[Details]]=$B23)*(ROW(Table1[[Details]:[Details]])-ROW(Table1[[#Headers],[Details]])),COLUMNS($C$10:C22))),"")</f>
        <v>Vinyl Pasting</v>
      </c>
      <c r="D23" t="str">
        <f>IF(COLUMNS($C$10:D22)&lt;=$A23,INDEX(Table1[[PARTICULAR]:[PARTICULAR]],_xlfn.AGGREGATE(15,3,(Table1[[#This Row],[Details]:[Details]]=$B23)/(Table1[[#This Row],[Details]:[Details]]=$B23)*(ROW(Table1[[Details]:[Details]])-ROW(Table1[[#Headers],[Details]])),COLUMNS($C$10:D22))),"")</f>
        <v>Vinyl Pasting Outstation</v>
      </c>
      <c r="E23" t="str">
        <f>IF(COLUMNS($C$10:E22)&lt;=$A23,INDEX(Table1[[PARTICULAR]:[PARTICULAR]],_xlfn.AGGREGATE(15,3,(Table1[[#This Row],[Details]:[Details]]=$B23)/(Table1[[#This Row],[Details]:[Details]]=$B23)*(ROW(Table1[[Details]:[Details]])-ROW(Table1[[#Headers],[Details]])),COLUMNS($C$10:E22))),"")</f>
        <v>Façade Vinyl Pasting</v>
      </c>
      <c r="F23" t="str">
        <f>IF(COLUMNS($C$10:F22)&lt;=$A23,INDEX(Table1[[PARTICULAR]:[PARTICULAR]],_xlfn.AGGREGATE(15,3,(Table1[[#This Row],[Details]:[Details]]=$B23)/(Table1[[#This Row],[Details]:[Details]]=$B23)*(ROW(Table1[[Details]:[Details]])-ROW(Table1[[#Headers],[Details]])),COLUMNS($C$10:F22))),"")</f>
        <v>Sunboard Pasting</v>
      </c>
      <c r="G23" t="str">
        <f>IF(COLUMNS($C$10:G22)&lt;=$A23,INDEX(Table1[[PARTICULAR]:[PARTICULAR]],_xlfn.AGGREGATE(15,3,(Table1[[#This Row],[Details]:[Details]]=$B23)/(Table1[[#This Row],[Details]:[Details]]=$B23)*(ROW(Table1[[Details]:[Details]])-ROW(Table1[[#Headers],[Details]])),COLUMNS($C$10:G22))),"")</f>
        <v>Sunboard Cutting Pasting &amp; Fitting Chgs</v>
      </c>
      <c r="H23" t="str">
        <f>IF(COLUMNS($C$10:H22)&lt;=$A23,INDEX(Table1[[PARTICULAR]:[PARTICULAR]],_xlfn.AGGREGATE(15,3,(Table1[[#This Row],[Details]:[Details]]=$B23)/(Table1[[#This Row],[Details]:[Details]]=$B23)*(ROW(Table1[[Details]:[Details]])-ROW(Table1[[#Headers],[Details]])),COLUMNS($C$10:H22))),"")</f>
        <v/>
      </c>
      <c r="I23" t="str">
        <f>IF(COLUMNS($C$10:I22)&lt;=$A23,INDEX(Table1[[PARTICULAR]:[PARTICULAR]],_xlfn.AGGREGATE(15,3,(Table1[[#This Row],[Details]:[Details]]=$B23)/(Table1[[#This Row],[Details]:[Details]]=$B23)*(ROW(Table1[[Details]:[Details]])-ROW(Table1[[#Headers],[Details]])),COLUMNS($C$10:I22))),"")</f>
        <v/>
      </c>
      <c r="J23" t="str">
        <f>IF(COLUMNS($C$10:J22)&lt;=$A23,INDEX(Table1[[PARTICULAR]:[PARTICULAR]],_xlfn.AGGREGATE(15,3,(Table1[[#This Row],[Details]:[Details]]=$B23)/(Table1[[#This Row],[Details]:[Details]]=$B23)*(ROW(Table1[[Details]:[Details]])-ROW(Table1[[#Headers],[Details]])),COLUMNS($C$10:J22))),"")</f>
        <v/>
      </c>
      <c r="K23" t="str">
        <f>IF(COLUMNS($C$10:K22)&lt;=$A23,INDEX(Table1[[PARTICULAR]:[PARTICULAR]],_xlfn.AGGREGATE(15,3,(Table1[[#This Row],[Details]:[Details]]=$B23)/(Table1[[#This Row],[Details]:[Details]]=$B23)*(ROW(Table1[[Details]:[Details]])-ROW(Table1[[#Headers],[Details]])),COLUMNS($C$10:K22))),"")</f>
        <v/>
      </c>
      <c r="L23" t="str">
        <f>IF(COLUMNS($C$10:L22)&lt;=$A23,INDEX(Table1[[PARTICULAR]:[PARTICULAR]],_xlfn.AGGREGATE(15,3,(Table1[[#This Row],[Details]:[Details]]=$B23)/(Table1[[#This Row],[Details]:[Details]]=$B23)*(ROW(Table1[[Details]:[Details]])-ROW(Table1[[#Headers],[Details]])),COLUMNS($C$10:L22))),"")</f>
        <v/>
      </c>
      <c r="M23" t="str">
        <f>IF(COLUMNS($C$10:M22)&lt;=$A23,INDEX(Table1[[PARTICULAR]:[PARTICULAR]],_xlfn.AGGREGATE(15,3,(Table1[[#This Row],[Details]:[Details]]=$B23)/(Table1[[#This Row],[Details]:[Details]]=$B23)*(ROW(Table1[[Details]:[Details]])-ROW(Table1[[#Headers],[Details]])),COLUMNS($C$10:M22))),"")</f>
        <v/>
      </c>
      <c r="N23" t="str">
        <f>IF(COLUMNS($C$10:N22)&lt;=$A23,INDEX(Table1[[PARTICULAR]:[PARTICULAR]],_xlfn.AGGREGATE(15,3,(Table1[[#This Row],[Details]:[Details]]=$B23)/(Table1[[#This Row],[Details]:[Details]]=$B23)*(ROW(Table1[[Details]:[Details]])-ROW(Table1[[#Headers],[Details]])),COLUMNS($C$10:N22))),"")</f>
        <v/>
      </c>
      <c r="O23" t="str">
        <f>IF(COLUMNS($C$10:O22)&lt;=$A23,INDEX(Table1[[PARTICULAR]:[PARTICULAR]],_xlfn.AGGREGATE(15,3,(Table1[[#This Row],[Details]:[Details]]=$B23)/(Table1[[#This Row],[Details]:[Details]]=$B23)*(ROW(Table1[[Details]:[Details]])-ROW(Table1[[#Headers],[Details]])),COLUMNS($C$10:O22))),"")</f>
        <v/>
      </c>
      <c r="P23" t="str">
        <f>IF(COLUMNS($C$10:P22)&lt;=$A23,INDEX(Table1[[PARTICULAR]:[PARTICULAR]],_xlfn.AGGREGATE(15,3,(Table1[[#This Row],[Details]:[Details]]=$B23)/(Table1[[#This Row],[Details]:[Details]]=$B23)*(ROW(Table1[[Details]:[Details]])-ROW(Table1[[#Headers],[Details]])),COLUMNS($C$10:P22))),"")</f>
        <v/>
      </c>
      <c r="Q23" t="str">
        <f>IF(COLUMNS($C$10:Q22)&lt;=$A23,INDEX(Table1[[PARTICULAR]:[PARTICULAR]],_xlfn.AGGREGATE(15,3,(Table1[[#This Row],[Details]:[Details]]=$B23)/(Table1[[#This Row],[Details]:[Details]]=$B23)*(ROW(Table1[[Details]:[Details]])-ROW(Table1[[#Headers],[Details]])),COLUMNS($C$10:Q22))),"")</f>
        <v/>
      </c>
      <c r="R23" t="str">
        <f>IF(COLUMNS($C$10:R22)&lt;=$A23,INDEX(Table1[[PARTICULAR]:[PARTICULAR]],_xlfn.AGGREGATE(15,3,(Table1[[#This Row],[Details]:[Details]]=$B23)/(Table1[[#This Row],[Details]:[Details]]=$B23)*(ROW(Table1[[Details]:[Details]])-ROW(Table1[[#Headers],[Details]])),COLUMNS($C$10:R22))),"")</f>
        <v/>
      </c>
      <c r="S23" t="str">
        <f>IF(COLUMNS($C$10:S22)&lt;=$A23,INDEX(Table1[[PARTICULAR]:[PARTICULAR]],_xlfn.AGGREGATE(15,3,(Table1[[#This Row],[Details]:[Details]]=$B23)/(Table1[[#This Row],[Details]:[Details]]=$B23)*(ROW(Table1[[Details]:[Details]])-ROW(Table1[[#Headers],[Details]])),COLUMNS($C$10:S22))),"")</f>
        <v/>
      </c>
      <c r="T23" t="str">
        <f>IF(COLUMNS($C$10:T22)&lt;=$A23,INDEX(Table1[[PARTICULAR]:[PARTICULAR]],_xlfn.AGGREGATE(15,3,(Table1[[#This Row],[Details]:[Details]]=$B23)/(Table1[[#This Row],[Details]:[Details]]=$B23)*(ROW(Table1[[Details]:[Details]])-ROW(Table1[[#Headers],[Details]])),COLUMNS($C$10:T22))),"")</f>
        <v/>
      </c>
      <c r="U23" t="str">
        <f>IF(COLUMNS($C$10:U22)&lt;=$A23,INDEX(Table1[[PARTICULAR]:[PARTICULAR]],_xlfn.AGGREGATE(15,3,(Table1[[#This Row],[Details]:[Details]]=$B23)/(Table1[[#This Row],[Details]:[Details]]=$B23)*(ROW(Table1[[Details]:[Details]])-ROW(Table1[[#Headers],[Details]])),COLUMNS($C$10:U22))),"")</f>
        <v/>
      </c>
      <c r="V23" t="str">
        <f>IF(COLUMNS($C$10:V22)&lt;=$A23,INDEX(Table1[[PARTICULAR]:[PARTICULAR]],_xlfn.AGGREGATE(15,3,(Table1[[#This Row],[Details]:[Details]]=$B23)/(Table1[[#This Row],[Details]:[Details]]=$B23)*(ROW(Table1[[Details]:[Details]])-ROW(Table1[[#Headers],[Details]])),COLUMNS($C$10:V22))),"")</f>
        <v/>
      </c>
      <c r="W23" t="str">
        <f>IF(COLUMNS($C$10:W22)&lt;=$A23,INDEX(Table1[[PARTICULAR]:[PARTICULAR]],_xlfn.AGGREGATE(15,3,(Table1[[#This Row],[Details]:[Details]]=$B23)/(Table1[[#This Row],[Details]:[Details]]=$B23)*(ROW(Table1[[Details]:[Details]])-ROW(Table1[[#Headers],[Details]])),COLUMNS($C$10:W22))),"")</f>
        <v/>
      </c>
      <c r="X23" t="str">
        <f>IF(COLUMNS($C$10:X22)&lt;=$A23,INDEX(Table1[[PARTICULAR]:[PARTICULAR]],_xlfn.AGGREGATE(15,3,(Table1[[#This Row],[Details]:[Details]]=$B23)/(Table1[[#This Row],[Details]:[Details]]=$B23)*(ROW(Table1[[Details]:[Details]])-ROW(Table1[[#Headers],[Details]])),COLUMNS($C$10:X22))),"")</f>
        <v/>
      </c>
      <c r="Y23" t="str">
        <f>IF(COLUMNS($C$10:Y22)&lt;=$A23,INDEX(Table1[[PARTICULAR]:[PARTICULAR]],_xlfn.AGGREGATE(15,3,(Table1[[#This Row],[Details]:[Details]]=$B23)/(Table1[[#This Row],[Details]:[Details]]=$B23)*(ROW(Table1[[Details]:[Details]])-ROW(Table1[[#Headers],[Details]])),COLUMNS($C$10:Y22))),"")</f>
        <v/>
      </c>
      <c r="Z23" t="str">
        <f>IF(COLUMNS($C$10:Z22)&lt;=$A23,INDEX(Table1[[PARTICULAR]:[PARTICULAR]],_xlfn.AGGREGATE(15,3,(Table1[[#This Row],[Details]:[Details]]=$B23)/(Table1[[#This Row],[Details]:[Details]]=$B23)*(ROW(Table1[[Details]:[Details]])-ROW(Table1[[#Headers],[Details]])),COLUMNS($C$10:Z22))),"")</f>
        <v/>
      </c>
      <c r="AA23" t="str">
        <f>IF(COLUMNS($C$10:AA22)&lt;=$A23,INDEX(Table1[[PARTICULAR]:[PARTICULAR]],_xlfn.AGGREGATE(15,3,(Table1[[#This Row],[Details]:[Details]]=$B23)/(Table1[[#This Row],[Details]:[Details]]=$B23)*(ROW(Table1[[Details]:[Details]])-ROW(Table1[[#Headers],[Details]])),COLUMNS($C$10:AA22))),"")</f>
        <v/>
      </c>
      <c r="AB23" t="str">
        <f>IF(COLUMNS($C$10:AB22)&lt;=$A23,INDEX(Table1[[PARTICULAR]:[PARTICULAR]],_xlfn.AGGREGATE(15,3,(Table1[[#This Row],[Details]:[Details]]=$B23)/(Table1[[#This Row],[Details]:[Details]]=$B23)*(ROW(Table1[[Details]:[Details]])-ROW(Table1[[#Headers],[Details]])),COLUMNS($C$10:AB22))),"")</f>
        <v/>
      </c>
      <c r="AC23" t="str">
        <f>IF(COLUMNS($C$10:AC22)&lt;=$A23,INDEX(Table1[[PARTICULAR]:[PARTICULAR]],_xlfn.AGGREGATE(15,3,(Table1[[#This Row],[Details]:[Details]]=$B23)/(Table1[[#This Row],[Details]:[Details]]=$B23)*(ROW(Table1[[Details]:[Details]])-ROW(Table1[[#Headers],[Details]])),COLUMNS($C$10:AC22))),"")</f>
        <v/>
      </c>
      <c r="AD23" t="str">
        <f>IF(COLUMNS($C$10:AD22)&lt;=$A23,INDEX(Table1[[PARTICULAR]:[PARTICULAR]],_xlfn.AGGREGATE(15,3,(Table1[[#This Row],[Details]:[Details]]=$B23)/(Table1[[#This Row],[Details]:[Details]]=$B23)*(ROW(Table1[[Details]:[Details]])-ROW(Table1[[#Headers],[Details]])),COLUMNS($C$10:AD22))),"")</f>
        <v/>
      </c>
      <c r="AE23" t="str">
        <f>IF(COLUMNS($C$10:AE22)&lt;=$A23,INDEX(Table1[[PARTICULAR]:[PARTICULAR]],_xlfn.AGGREGATE(15,3,(Table1[[#This Row],[Details]:[Details]]=$B23)/(Table1[[#This Row],[Details]:[Details]]=$B23)*(ROW(Table1[[Details]:[Details]])-ROW(Table1[[#Headers],[Details]])),COLUMNS($C$10:AE22))),"")</f>
        <v/>
      </c>
      <c r="AF23" t="str">
        <f>IF(COLUMNS($C$10:AF22)&lt;=$A23,INDEX(Table1[[PARTICULAR]:[PARTICULAR]],_xlfn.AGGREGATE(15,3,(Table1[[#This Row],[Details]:[Details]]=$B23)/(Table1[[#This Row],[Details]:[Details]]=$B23)*(ROW(Table1[[Details]:[Details]])-ROW(Table1[[#Headers],[Details]])),COLUMNS($C$10:AF22))),"")</f>
        <v/>
      </c>
      <c r="AG23" t="str">
        <f>IF(COLUMNS($C$10:AG22)&lt;=$A23,INDEX(Table1[[PARTICULAR]:[PARTICULAR]],_xlfn.AGGREGATE(15,3,(Table1[[#This Row],[Details]:[Details]]=$B23)/(Table1[[#This Row],[Details]:[Details]]=$B23)*(ROW(Table1[[Details]:[Details]])-ROW(Table1[[#Headers],[Details]])),COLUMNS($C$10:AG22))),"")</f>
        <v/>
      </c>
      <c r="AH23" t="str">
        <f>IF(COLUMNS($C$10:AH22)&lt;=$A23,INDEX(Table1[[PARTICULAR]:[PARTICULAR]],_xlfn.AGGREGATE(15,3,(Table1[[#This Row],[Details]:[Details]]=$B23)/(Table1[[#This Row],[Details]:[Details]]=$B23)*(ROW(Table1[[Details]:[Details]])-ROW(Table1[[#Headers],[Details]])),COLUMNS($C$10:AH22))),"")</f>
        <v/>
      </c>
      <c r="AI23" t="str">
        <f>IF(COLUMNS($C$10:AI22)&lt;=$A23,INDEX(Table1[[PARTICULAR]:[PARTICULAR]],_xlfn.AGGREGATE(15,3,(Table1[[#This Row],[Details]:[Details]]=$B23)/(Table1[[#This Row],[Details]:[Details]]=$B23)*(ROW(Table1[[Details]:[Details]])-ROW(Table1[[#Headers],[Details]])),COLUMNS($C$10:AI22))),"")</f>
        <v/>
      </c>
      <c r="AJ23" t="str">
        <f>IF(COLUMNS($C$10:AJ22)&lt;=$A23,INDEX(Table1[[PARTICULAR]:[PARTICULAR]],_xlfn.AGGREGATE(15,3,(Table1[[#This Row],[Details]:[Details]]=$B23)/(Table1[[#This Row],[Details]:[Details]]=$B23)*(ROW(Table1[[Details]:[Details]])-ROW(Table1[[#Headers],[Details]])),COLUMNS($C$10:AJ22))),"")</f>
        <v/>
      </c>
      <c r="AK23" t="str">
        <f>IF(COLUMNS($C$10:AK22)&lt;=$A23,INDEX(Table1[[PARTICULAR]:[PARTICULAR]],_xlfn.AGGREGATE(15,3,(Table1[[#This Row],[Details]:[Details]]=$B23)/(Table1[[#This Row],[Details]:[Details]]=$B23)*(ROW(Table1[[Details]:[Details]])-ROW(Table1[[#Headers],[Details]])),COLUMNS($C$10:AK22))),"")</f>
        <v/>
      </c>
      <c r="AL23" t="str">
        <f>IF(COLUMNS($C$10:AL22)&lt;=$A23,INDEX(Table1[[PARTICULAR]:[PARTICULAR]],_xlfn.AGGREGATE(15,3,(Table1[[#This Row],[Details]:[Details]]=$B23)/(Table1[[#This Row],[Details]:[Details]]=$B23)*(ROW(Table1[[Details]:[Details]])-ROW(Table1[[#Headers],[Details]])),COLUMNS($C$10:AL22))),"")</f>
        <v/>
      </c>
      <c r="AM23" t="str">
        <f>IF(COLUMNS($C$10:AM22)&lt;=$A23,INDEX(Table1[[PARTICULAR]:[PARTICULAR]],_xlfn.AGGREGATE(15,3,(Table1[[#This Row],[Details]:[Details]]=$B23)/(Table1[[#This Row],[Details]:[Details]]=$B23)*(ROW(Table1[[Details]:[Details]])-ROW(Table1[[#Headers],[Details]])),COLUMNS($C$10:AM22))),"")</f>
        <v/>
      </c>
      <c r="AN23" t="str">
        <f>IF(COLUMNS($C$10:AN22)&lt;=$A23,INDEX(Table1[[PARTICULAR]:[PARTICULAR]],_xlfn.AGGREGATE(15,3,(Table1[[#This Row],[Details]:[Details]]=$B23)/(Table1[[#This Row],[Details]:[Details]]=$B23)*(ROW(Table1[[Details]:[Details]])-ROW(Table1[[#Headers],[Details]])),COLUMNS($C$10:AN22))),"")</f>
        <v/>
      </c>
      <c r="AO23" t="str">
        <f>IF(COLUMNS($C$10:AO22)&lt;=$A23,INDEX(Table1[[PARTICULAR]:[PARTICULAR]],_xlfn.AGGREGATE(15,3,(Table1[[#This Row],[Details]:[Details]]=$B23)/(Table1[[#This Row],[Details]:[Details]]=$B23)*(ROW(Table1[[Details]:[Details]])-ROW(Table1[[#Headers],[Details]])),COLUMNS($C$10:AO22))),"")</f>
        <v/>
      </c>
      <c r="AP23" t="str">
        <f>IF(COLUMNS($C$10:AP22)&lt;=$A23,INDEX(Table1[[PARTICULAR]:[PARTICULAR]],_xlfn.AGGREGATE(15,3,(Table1[[#This Row],[Details]:[Details]]=$B23)/(Table1[[#This Row],[Details]:[Details]]=$B23)*(ROW(Table1[[Details]:[Details]])-ROW(Table1[[#Headers],[Details]])),COLUMNS($C$10:AP22))),"")</f>
        <v/>
      </c>
      <c r="AQ23" t="str">
        <f>IF(COLUMNS($C$10:AQ22)&lt;=$A23,INDEX(Table1[[PARTICULAR]:[PARTICULAR]],_xlfn.AGGREGATE(15,3,(Table1[[#This Row],[Details]:[Details]]=$B23)/(Table1[[#This Row],[Details]:[Details]]=$B23)*(ROW(Table1[[Details]:[Details]])-ROW(Table1[[#Headers],[Details]])),COLUMNS($C$10:AQ22))),"")</f>
        <v/>
      </c>
      <c r="AR23" t="str">
        <f>IF(COLUMNS($C$10:AR22)&lt;=$A23,INDEX(Table1[[PARTICULAR]:[PARTICULAR]],_xlfn.AGGREGATE(15,3,(Table1[[#This Row],[Details]:[Details]]=$B23)/(Table1[[#This Row],[Details]:[Details]]=$B23)*(ROW(Table1[[Details]:[Details]])-ROW(Table1[[#Headers],[Details]])),COLUMNS($C$10:AR22))),"")</f>
        <v/>
      </c>
      <c r="AS23" t="str">
        <f>IF(COLUMNS($C$10:AS22)&lt;=$A23,INDEX(Table1[[PARTICULAR]:[PARTICULAR]],_xlfn.AGGREGATE(15,3,(Table1[[#This Row],[Details]:[Details]]=$B23)/(Table1[[#This Row],[Details]:[Details]]=$B23)*(ROW(Table1[[Details]:[Details]])-ROW(Table1[[#Headers],[Details]])),COLUMNS($C$10:AS22))),"")</f>
        <v/>
      </c>
      <c r="AT23" t="str">
        <f>IF(COLUMNS($C$10:AT22)&lt;=$A23,INDEX(Table1[[PARTICULAR]:[PARTICULAR]],_xlfn.AGGREGATE(15,3,(Table1[[#This Row],[Details]:[Details]]=$B23)/(Table1[[#This Row],[Details]:[Details]]=$B23)*(ROW(Table1[[Details]:[Details]])-ROW(Table1[[#Headers],[Details]])),COLUMNS($C$10:AT22))),"")</f>
        <v/>
      </c>
      <c r="AU23" t="str">
        <f>IF(COLUMNS($C$10:AU22)&lt;=$A23,INDEX(Table1[[PARTICULAR]:[PARTICULAR]],_xlfn.AGGREGATE(15,3,(Table1[[#This Row],[Details]:[Details]]=$B23)/(Table1[[#This Row],[Details]:[Details]]=$B23)*(ROW(Table1[[Details]:[Details]])-ROW(Table1[[#Headers],[Details]])),COLUMNS($C$10:AU22))),"")</f>
        <v/>
      </c>
      <c r="AV23" t="str">
        <f>IF(COLUMNS($C$10:AV22)&lt;=$A23,INDEX(Table1[[PARTICULAR]:[PARTICULAR]],_xlfn.AGGREGATE(15,3,(Table1[[#This Row],[Details]:[Details]]=$B23)/(Table1[[#This Row],[Details]:[Details]]=$B23)*(ROW(Table1[[Details]:[Details]])-ROW(Table1[[#Headers],[Details]])),COLUMNS($C$10:AV22))),"")</f>
        <v/>
      </c>
      <c r="AW23" t="str">
        <f>IF(COLUMNS($C$10:AW22)&lt;=$A23,INDEX(Table1[[PARTICULAR]:[PARTICULAR]],_xlfn.AGGREGATE(15,3,(Table1[[#This Row],[Details]:[Details]]=$B23)/(Table1[[#This Row],[Details]:[Details]]=$B23)*(ROW(Table1[[Details]:[Details]])-ROW(Table1[[#Headers],[Details]])),COLUMNS($C$10:AW22))),"")</f>
        <v/>
      </c>
      <c r="AX23" t="str">
        <f>IF(COLUMNS($C$10:AX22)&lt;=$A23,INDEX(Table1[[PARTICULAR]:[PARTICULAR]],_xlfn.AGGREGATE(15,3,(Table1[[#This Row],[Details]:[Details]]=$B23)/(Table1[[#This Row],[Details]:[Details]]=$B23)*(ROW(Table1[[Details]:[Details]])-ROW(Table1[[#Headers],[Details]])),COLUMNS($C$10:AX22))),"")</f>
        <v/>
      </c>
      <c r="AY23" t="str">
        <f>IF(COLUMNS($C$10:AY22)&lt;=$A23,INDEX(Table1[[PARTICULAR]:[PARTICULAR]],_xlfn.AGGREGATE(15,3,(Table1[[#This Row],[Details]:[Details]]=$B23)/(Table1[[#This Row],[Details]:[Details]]=$B23)*(ROW(Table1[[Details]:[Details]])-ROW(Table1[[#Headers],[Details]])),COLUMNS($C$10:AY22))),"")</f>
        <v/>
      </c>
      <c r="AZ23" t="str">
        <f>IF(COLUMNS($C$10:AZ22)&lt;=$A23,INDEX(Table1[[PARTICULAR]:[PARTICULAR]],_xlfn.AGGREGATE(15,3,(Table1[[#This Row],[Details]:[Details]]=$B23)/(Table1[[#This Row],[Details]:[Details]]=$B23)*(ROW(Table1[[Details]:[Details]])-ROW(Table1[[#Headers],[Details]])),COLUMNS($C$10:AZ22))),"")</f>
        <v/>
      </c>
      <c r="BA23" t="str">
        <f>IF(COLUMNS($C$10:BA22)&lt;=$A23,INDEX(Table1[[PARTICULAR]:[PARTICULAR]],_xlfn.AGGREGATE(15,3,(Table1[[#This Row],[Details]:[Details]]=$B23)/(Table1[[#This Row],[Details]:[Details]]=$B23)*(ROW(Table1[[Details]:[Details]])-ROW(Table1[[#Headers],[Details]])),COLUMNS($C$10:BA22))),"")</f>
        <v/>
      </c>
      <c r="BB23" t="str">
        <f>IF(COLUMNS($C$10:BB22)&lt;=$A23,INDEX(Table1[[PARTICULAR]:[PARTICULAR]],_xlfn.AGGREGATE(15,3,(Table1[[#This Row],[Details]:[Details]]=$B23)/(Table1[[#This Row],[Details]:[Details]]=$B23)*(ROW(Table1[[Details]:[Details]])-ROW(Table1[[#Headers],[Details]])),COLUMNS($C$10:BB22))),"")</f>
        <v/>
      </c>
      <c r="BC23" t="str">
        <f>IF(COLUMNS($C$10:BC22)&lt;=$A23,INDEX(Table1[[PARTICULAR]:[PARTICULAR]],_xlfn.AGGREGATE(15,3,(Table1[[#This Row],[Details]:[Details]]=$B23)/(Table1[[#This Row],[Details]:[Details]]=$B23)*(ROW(Table1[[Details]:[Details]])-ROW(Table1[[#Headers],[Details]])),COLUMNS($C$10:BC22))),"")</f>
        <v/>
      </c>
      <c r="BD23" t="str">
        <f>IF(COLUMNS($C$10:BD22)&lt;=$A23,INDEX(Table1[[PARTICULAR]:[PARTICULAR]],_xlfn.AGGREGATE(15,3,(Table1[[#This Row],[Details]:[Details]]=$B23)/(Table1[[#This Row],[Details]:[Details]]=$B23)*(ROW(Table1[[Details]:[Details]])-ROW(Table1[[#Headers],[Details]])),COLUMNS($C$10:BD22))),"")</f>
        <v/>
      </c>
      <c r="BE23" t="str">
        <f>IF(COLUMNS($C$10:BE22)&lt;=$A23,INDEX(Table1[[PARTICULAR]:[PARTICULAR]],_xlfn.AGGREGATE(15,3,(Table1[[#This Row],[Details]:[Details]]=$B23)/(Table1[[#This Row],[Details]:[Details]]=$B23)*(ROW(Table1[[Details]:[Details]])-ROW(Table1[[#Headers],[Details]])),COLUMNS($C$10:BE22))),"")</f>
        <v/>
      </c>
      <c r="BF23" t="str">
        <f>IF(COLUMNS($C$10:BF22)&lt;=$A23,INDEX(Table1[[PARTICULAR]:[PARTICULAR]],_xlfn.AGGREGATE(15,3,(Table1[[#This Row],[Details]:[Details]]=$B23)/(Table1[[#This Row],[Details]:[Details]]=$B23)*(ROW(Table1[[Details]:[Details]])-ROW(Table1[[#Headers],[Details]])),COLUMNS($C$10:BF22))),"")</f>
        <v/>
      </c>
      <c r="BG23" t="str">
        <f>IF(COLUMNS($C$10:BG22)&lt;=$A23,INDEX(Table1[[PARTICULAR]:[PARTICULAR]],_xlfn.AGGREGATE(15,3,(Table1[[#This Row],[Details]:[Details]]=$B23)/(Table1[[#This Row],[Details]:[Details]]=$B23)*(ROW(Table1[[Details]:[Details]])-ROW(Table1[[#Headers],[Details]])),COLUMNS($C$10:BG22))),"")</f>
        <v/>
      </c>
      <c r="BH23" t="str">
        <f>IF(COLUMNS($C$10:BH22)&lt;=$A23,INDEX(Table1[[PARTICULAR]:[PARTICULAR]],_xlfn.AGGREGATE(15,3,(Table1[[#This Row],[Details]:[Details]]=$B23)/(Table1[[#This Row],[Details]:[Details]]=$B23)*(ROW(Table1[[Details]:[Details]])-ROW(Table1[[#Headers],[Details]])),COLUMNS($C$10:BH22))),"")</f>
        <v/>
      </c>
      <c r="BI23" t="str">
        <f>IF(COLUMNS($C$10:BI22)&lt;=$A23,INDEX(Table1[[PARTICULAR]:[PARTICULAR]],_xlfn.AGGREGATE(15,3,(Table1[[#This Row],[Details]:[Details]]=$B23)/(Table1[[#This Row],[Details]:[Details]]=$B23)*(ROW(Table1[[Details]:[Details]])-ROW(Table1[[#Headers],[Details]])),COLUMNS($C$10:BI22))),"")</f>
        <v/>
      </c>
      <c r="BJ23" t="str">
        <f>IF(COLUMNS($C$10:BJ22)&lt;=$A23,INDEX(Table1[[PARTICULAR]:[PARTICULAR]],_xlfn.AGGREGATE(15,3,(Table1[[#This Row],[Details]:[Details]]=$B23)/(Table1[[#This Row],[Details]:[Details]]=$B23)*(ROW(Table1[[Details]:[Details]])-ROW(Table1[[#Headers],[Details]])),COLUMNS($C$10:BJ22))),"")</f>
        <v/>
      </c>
      <c r="BK23" t="str">
        <f>IF(COLUMNS($C$10:BK22)&lt;=$A23,INDEX(Table1[[PARTICULAR]:[PARTICULAR]],_xlfn.AGGREGATE(15,3,(Table1[[#This Row],[Details]:[Details]]=$B23)/(Table1[[#This Row],[Details]:[Details]]=$B23)*(ROW(Table1[[Details]:[Details]])-ROW(Table1[[#Headers],[Details]])),COLUMNS($C$10:BK22))),"")</f>
        <v/>
      </c>
      <c r="BL23" t="str">
        <f>IF(COLUMNS($C$10:BL22)&lt;=$A23,INDEX(Table1[[PARTICULAR]:[PARTICULAR]],_xlfn.AGGREGATE(15,3,(Table1[[#This Row],[Details]:[Details]]=$B23)/(Table1[[#This Row],[Details]:[Details]]=$B23)*(ROW(Table1[[Details]:[Details]])-ROW(Table1[[#Headers],[Details]])),COLUMNS($C$10:BL22))),"")</f>
        <v/>
      </c>
      <c r="BM23" t="str">
        <f>IF(COLUMNS($C$10:BM22)&lt;=$A23,INDEX(Table1[[PARTICULAR]:[PARTICULAR]],_xlfn.AGGREGATE(15,3,(Table1[[#This Row],[Details]:[Details]]=$B23)/(Table1[[#This Row],[Details]:[Details]]=$B23)*(ROW(Table1[[Details]:[Details]])-ROW(Table1[[#Headers],[Details]])),COLUMNS($C$10:BM22))),"")</f>
        <v/>
      </c>
      <c r="BN23" t="str">
        <f>IF(COLUMNS($C$10:BN22)&lt;=$A23,INDEX(Table1[[PARTICULAR]:[PARTICULAR]],_xlfn.AGGREGATE(15,3,(Table1[[#This Row],[Details]:[Details]]=$B23)/(Table1[[#This Row],[Details]:[Details]]=$B23)*(ROW(Table1[[Details]:[Details]])-ROW(Table1[[#Headers],[Details]])),COLUMNS($C$10:BN22))),"")</f>
        <v/>
      </c>
      <c r="BO23" t="str">
        <f>IF(COLUMNS($C$10:BO22)&lt;=$A23,INDEX(Table1[[PARTICULAR]:[PARTICULAR]],_xlfn.AGGREGATE(15,3,(Table1[[#This Row],[Details]:[Details]]=$B23)/(Table1[[#This Row],[Details]:[Details]]=$B23)*(ROW(Table1[[Details]:[Details]])-ROW(Table1[[#Headers],[Details]])),COLUMNS($C$10:BO22))),"")</f>
        <v/>
      </c>
      <c r="BP23" t="str">
        <f>IF(COLUMNS($C$10:BP22)&lt;=$A23,INDEX(Table1[[PARTICULAR]:[PARTICULAR]],_xlfn.AGGREGATE(15,3,(Table1[[#This Row],[Details]:[Details]]=$B23)/(Table1[[#This Row],[Details]:[Details]]=$B23)*(ROW(Table1[[Details]:[Details]])-ROW(Table1[[#Headers],[Details]])),COLUMNS($C$10:BP22))),"")</f>
        <v/>
      </c>
      <c r="BQ23" t="str">
        <f>IF(COLUMNS($C$10:BQ22)&lt;=$A23,INDEX(Table1[[PARTICULAR]:[PARTICULAR]],_xlfn.AGGREGATE(15,3,(Table1[[#This Row],[Details]:[Details]]=$B23)/(Table1[[#This Row],[Details]:[Details]]=$B23)*(ROW(Table1[[Details]:[Details]])-ROW(Table1[[#Headers],[Details]])),COLUMNS($C$10:BQ22))),"")</f>
        <v/>
      </c>
      <c r="BR23" t="str">
        <f>IF(COLUMNS($C$10:BR22)&lt;=$A23,INDEX(Table1[[PARTICULAR]:[PARTICULAR]],_xlfn.AGGREGATE(15,3,(Table1[[#This Row],[Details]:[Details]]=$B23)/(Table1[[#This Row],[Details]:[Details]]=$B23)*(ROW(Table1[[Details]:[Details]])-ROW(Table1[[#Headers],[Details]])),COLUMNS($C$10:BR22))),"")</f>
        <v/>
      </c>
      <c r="BS23" t="str">
        <f>IF(COLUMNS($C$10:BS22)&lt;=$A23,INDEX(Table1[[PARTICULAR]:[PARTICULAR]],_xlfn.AGGREGATE(15,3,(Table1[[#This Row],[Details]:[Details]]=$B23)/(Table1[[#This Row],[Details]:[Details]]=$B23)*(ROW(Table1[[Details]:[Details]])-ROW(Table1[[#Headers],[Details]])),COLUMNS($C$10:BS22))),"")</f>
        <v/>
      </c>
      <c r="BT23" t="str">
        <f>IF(COLUMNS($C$10:BT22)&lt;=$A23,INDEX(Table1[[PARTICULAR]:[PARTICULAR]],_xlfn.AGGREGATE(15,3,(Table1[[#This Row],[Details]:[Details]]=$B23)/(Table1[[#This Row],[Details]:[Details]]=$B23)*(ROW(Table1[[Details]:[Details]])-ROW(Table1[[#Headers],[Details]])),COLUMNS($C$10:BT22))),"")</f>
        <v/>
      </c>
      <c r="BU23" t="str">
        <f>IF(COLUMNS($C$10:BU22)&lt;=$A23,INDEX(Table1[[PARTICULAR]:[PARTICULAR]],_xlfn.AGGREGATE(15,3,(Table1[[#This Row],[Details]:[Details]]=$B23)/(Table1[[#This Row],[Details]:[Details]]=$B23)*(ROW(Table1[[Details]:[Details]])-ROW(Table1[[#Headers],[Details]])),COLUMNS($C$10:BU22))),"")</f>
        <v/>
      </c>
      <c r="BV23" t="str">
        <f>IF(COLUMNS($C$10:BV22)&lt;=$A23,INDEX(Table1[[PARTICULAR]:[PARTICULAR]],_xlfn.AGGREGATE(15,3,(Table1[[#This Row],[Details]:[Details]]=$B23)/(Table1[[#This Row],[Details]:[Details]]=$B23)*(ROW(Table1[[Details]:[Details]])-ROW(Table1[[#Headers],[Details]])),COLUMNS($C$10:BV22))),"")</f>
        <v/>
      </c>
      <c r="BW23" t="str">
        <f>IF(COLUMNS($C$10:BW22)&lt;=$A23,INDEX(Table1[[PARTICULAR]:[PARTICULAR]],_xlfn.AGGREGATE(15,3,(Table1[[#This Row],[Details]:[Details]]=$B23)/(Table1[[#This Row],[Details]:[Details]]=$B23)*(ROW(Table1[[Details]:[Details]])-ROW(Table1[[#Headers],[Details]])),COLUMNS($C$10:BW22))),"")</f>
        <v/>
      </c>
      <c r="BX23" t="str">
        <f>IF(COLUMNS($C$10:BX22)&lt;=$A23,INDEX(Table1[[PARTICULAR]:[PARTICULAR]],_xlfn.AGGREGATE(15,3,(Table1[[#This Row],[Details]:[Details]]=$B23)/(Table1[[#This Row],[Details]:[Details]]=$B23)*(ROW(Table1[[Details]:[Details]])-ROW(Table1[[#Headers],[Details]])),COLUMNS($C$10:BX22))),"")</f>
        <v/>
      </c>
      <c r="BY23" t="str">
        <f>IF(COLUMNS($C$10:BY22)&lt;=$A23,INDEX(Table1[[PARTICULAR]:[PARTICULAR]],_xlfn.AGGREGATE(15,3,(Table1[[#This Row],[Details]:[Details]]=$B23)/(Table1[[#This Row],[Details]:[Details]]=$B23)*(ROW(Table1[[Details]:[Details]])-ROW(Table1[[#Headers],[Details]])),COLUMNS($C$10:BY22))),"")</f>
        <v/>
      </c>
      <c r="BZ23" t="str">
        <f>IF(COLUMNS($C$10:BZ22)&lt;=$A23,INDEX(Table1[[PARTICULAR]:[PARTICULAR]],_xlfn.AGGREGATE(15,3,(Table1[[#This Row],[Details]:[Details]]=$B23)/(Table1[[#This Row],[Details]:[Details]]=$B23)*(ROW(Table1[[Details]:[Details]])-ROW(Table1[[#Headers],[Details]])),COLUMNS($C$10:BZ22))),"")</f>
        <v/>
      </c>
      <c r="CA23" t="str">
        <f>IF(COLUMNS($C$10:CA22)&lt;=$A23,INDEX(Table1[[PARTICULAR]:[PARTICULAR]],_xlfn.AGGREGATE(15,3,(Table1[[#This Row],[Details]:[Details]]=$B23)/(Table1[[#This Row],[Details]:[Details]]=$B23)*(ROW(Table1[[Details]:[Details]])-ROW(Table1[[#Headers],[Details]])),COLUMNS($C$10:CA22))),"")</f>
        <v/>
      </c>
      <c r="CB23" t="str">
        <f>IF(COLUMNS($C$10:CB22)&lt;=$A23,INDEX(Table1[[PARTICULAR]:[PARTICULAR]],_xlfn.AGGREGATE(15,3,(Table1[[#This Row],[Details]:[Details]]=$B23)/(Table1[[#This Row],[Details]:[Details]]=$B23)*(ROW(Table1[[Details]:[Details]])-ROW(Table1[[#Headers],[Details]])),COLUMNS($C$10:CB22))),"")</f>
        <v/>
      </c>
    </row>
    <row r="24" spans="1:80">
      <c r="A24">
        <f>COUNTIF(Table1[Details],B24)</f>
        <v>14</v>
      </c>
      <c r="B24" s="97" t="str">
        <f>IFERROR(INDEX(Table1[Details],MATCH(0,INDEX(COUNTIF($B$10:B23,Table1[Details]),),0)),"")</f>
        <v>Eco Solvent</v>
      </c>
      <c r="C24" t="str">
        <f>IF(COLUMNS($C$10:C23)&lt;=$A24,INDEX(Table1[[PARTICULAR]:[PARTICULAR]],_xlfn.AGGREGATE(15,3,(Table1[[#This Row],[Details]:[Details]]=$B24)/(Table1[[#This Row],[Details]:[Details]]=$B24)*(ROW(Table1[[Details]:[Details]])-ROW(Table1[[#Headers],[Details]])),COLUMNS($C$10:C23))),"")</f>
        <v>2 side Ecosolvent Print on 3mm Sunboard</v>
      </c>
      <c r="D24" t="str">
        <f>IF(COLUMNS($C$10:D23)&lt;=$A24,INDEX(Table1[[PARTICULAR]:[PARTICULAR]],_xlfn.AGGREGATE(15,3,(Table1[[#This Row],[Details]:[Details]]=$B24)/(Table1[[#This Row],[Details]:[Details]]=$B24)*(ROW(Table1[[Details]:[Details]])-ROW(Table1[[#Headers],[Details]])),COLUMNS($C$10:D23))),"")</f>
        <v>2 side Ecosolvent Print on 5mm Sunboard</v>
      </c>
      <c r="E24" t="str">
        <f>IF(COLUMNS($C$10:E23)&lt;=$A24,INDEX(Table1[[PARTICULAR]:[PARTICULAR]],_xlfn.AGGREGATE(15,3,(Table1[[#This Row],[Details]:[Details]]=$B24)/(Table1[[#This Row],[Details]:[Details]]=$B24)*(ROW(Table1[[Details]:[Details]])-ROW(Table1[[#Headers],[Details]])),COLUMNS($C$10:E23))),"")</f>
        <v>Eco Sol Translite Vinyl Print With Lam</v>
      </c>
      <c r="F24" t="str">
        <f>IF(COLUMNS($C$10:F23)&lt;=$A24,INDEX(Table1[[PARTICULAR]:[PARTICULAR]],_xlfn.AGGREGATE(15,3,(Table1[[#This Row],[Details]:[Details]]=$B24)/(Table1[[#This Row],[Details]:[Details]]=$B24)*(ROW(Table1[[Details]:[Details]])-ROW(Table1[[#Headers],[Details]])),COLUMNS($C$10:F23))),"")</f>
        <v>Eco Solvent Backlit Print With Lam</v>
      </c>
      <c r="G24" t="str">
        <f>IF(COLUMNS($C$10:G23)&lt;=$A24,INDEX(Table1[[PARTICULAR]:[PARTICULAR]],_xlfn.AGGREGATE(15,3,(Table1[[#This Row],[Details]:[Details]]=$B24)/(Table1[[#This Row],[Details]:[Details]]=$B24)*(ROW(Table1[[Details]:[Details]])-ROW(Table1[[#Headers],[Details]])),COLUMNS($C$10:G23))),"")</f>
        <v>Eco Solvent Backlit Print With Lam      </v>
      </c>
      <c r="H24" t="str">
        <f>IF(COLUMNS($C$10:H23)&lt;=$A24,INDEX(Table1[[PARTICULAR]:[PARTICULAR]],_xlfn.AGGREGATE(15,3,(Table1[[#This Row],[Details]:[Details]]=$B24)/(Table1[[#This Row],[Details]:[Details]]=$B24)*(ROW(Table1[[Details]:[Details]])-ROW(Table1[[#Headers],[Details]])),COLUMNS($C$10:H23))),"")</f>
        <v>Eco Solvent Greyback Vinyl Print with La</v>
      </c>
      <c r="I24" t="str">
        <f>IF(COLUMNS($C$10:I23)&lt;=$A24,INDEX(Table1[[PARTICULAR]:[PARTICULAR]],_xlfn.AGGREGATE(15,3,(Table1[[#This Row],[Details]:[Details]]=$B24)/(Table1[[#This Row],[Details]:[Details]]=$B24)*(ROW(Table1[[Details]:[Details]])-ROW(Table1[[#Headers],[Details]])),COLUMNS($C$10:I23))),"")</f>
        <v>Eco Solvent Vinyl Print with lam 3mm Sun</v>
      </c>
      <c r="J24" t="str">
        <f>IF(COLUMNS($C$10:J23)&lt;=$A24,INDEX(Table1[[PARTICULAR]:[PARTICULAR]],_xlfn.AGGREGATE(15,3,(Table1[[#This Row],[Details]:[Details]]=$B24)/(Table1[[#This Row],[Details]:[Details]]=$B24)*(ROW(Table1[[Details]:[Details]])-ROW(Table1[[#Headers],[Details]])),COLUMNS($C$10:J23))),"")</f>
        <v>Eco Solvent Vinyl Print with lam 5mm Sun</v>
      </c>
      <c r="K24" t="str">
        <f>IF(COLUMNS($C$10:K23)&lt;=$A24,INDEX(Table1[[PARTICULAR]:[PARTICULAR]],_xlfn.AGGREGATE(15,3,(Table1[[#This Row],[Details]:[Details]]=$B24)/(Table1[[#This Row],[Details]:[Details]]=$B24)*(ROW(Table1[[Details]:[Details]])-ROW(Table1[[#Headers],[Details]])),COLUMNS($C$10:K23))),"")</f>
        <v>Eco Solvent Vinyl Printing</v>
      </c>
      <c r="L24" t="str">
        <f>IF(COLUMNS($C$10:L23)&lt;=$A24,INDEX(Table1[[PARTICULAR]:[PARTICULAR]],_xlfn.AGGREGATE(15,3,(Table1[[#This Row],[Details]:[Details]]=$B24)/(Table1[[#This Row],[Details]:[Details]]=$B24)*(ROW(Table1[[Details]:[Details]])-ROW(Table1[[#Headers],[Details]])),COLUMNS($C$10:L23))),"")</f>
        <v>Eco Solvent Vinyl Printing With Laminati</v>
      </c>
      <c r="M24" t="str">
        <f>IF(COLUMNS($C$10:M23)&lt;=$A24,INDEX(Table1[[PARTICULAR]:[PARTICULAR]],_xlfn.AGGREGATE(15,3,(Table1[[#This Row],[Details]:[Details]]=$B24)/(Table1[[#This Row],[Details]:[Details]]=$B24)*(ROW(Table1[[Details]:[Details]])-ROW(Table1[[#Headers],[Details]])),COLUMNS($C$10:M23))),"")</f>
        <v>Eco Solvent Greyback Vinyl Print</v>
      </c>
      <c r="N24" t="str">
        <f>IF(COLUMNS($C$10:N23)&lt;=$A24,INDEX(Table1[[PARTICULAR]:[PARTICULAR]],_xlfn.AGGREGATE(15,3,(Table1[[#This Row],[Details]:[Details]]=$B24)/(Table1[[#This Row],[Details]:[Details]]=$B24)*(ROW(Table1[[Details]:[Details]])-ROW(Table1[[#Headers],[Details]])),COLUMNS($C$10:N23))),"")</f>
        <v>Eco Solvent Black Back Vinyl Print</v>
      </c>
      <c r="O24" t="str">
        <f>IF(COLUMNS($C$10:O23)&lt;=$A24,INDEX(Table1[[PARTICULAR]:[PARTICULAR]],_xlfn.AGGREGATE(15,3,(Table1[[#This Row],[Details]:[Details]]=$B24)/(Table1[[#This Row],[Details]:[Details]]=$B24)*(ROW(Table1[[Details]:[Details]])-ROW(Table1[[#Headers],[Details]])),COLUMNS($C$10:O23))),"")</f>
        <v>Eco Solvent Black Back Vinyl Print With</v>
      </c>
      <c r="P24" t="str">
        <f>IF(COLUMNS($C$10:P23)&lt;=$A24,INDEX(Table1[[PARTICULAR]:[PARTICULAR]],_xlfn.AGGREGATE(15,3,(Table1[[#This Row],[Details]:[Details]]=$B24)/(Table1[[#This Row],[Details]:[Details]]=$B24)*(ROW(Table1[[Details]:[Details]])-ROW(Table1[[#Headers],[Details]])),COLUMNS($C$10:P23))),"")</f>
        <v>Eco Solvent Translite Vinyl Print</v>
      </c>
      <c r="Q24" t="str">
        <f>IF(COLUMNS($C$10:Q23)&lt;=$A24,INDEX(Table1[[PARTICULAR]:[PARTICULAR]],_xlfn.AGGREGATE(15,3,(Table1[[#This Row],[Details]:[Details]]=$B24)/(Table1[[#This Row],[Details]:[Details]]=$B24)*(ROW(Table1[[Details]:[Details]])-ROW(Table1[[#Headers],[Details]])),COLUMNS($C$10:Q23))),"")</f>
        <v/>
      </c>
      <c r="R24" t="str">
        <f>IF(COLUMNS($C$10:R23)&lt;=$A24,INDEX(Table1[[PARTICULAR]:[PARTICULAR]],_xlfn.AGGREGATE(15,3,(Table1[[#This Row],[Details]:[Details]]=$B24)/(Table1[[#This Row],[Details]:[Details]]=$B24)*(ROW(Table1[[Details]:[Details]])-ROW(Table1[[#Headers],[Details]])),COLUMNS($C$10:R23))),"")</f>
        <v/>
      </c>
      <c r="S24" t="str">
        <f>IF(COLUMNS($C$10:S23)&lt;=$A24,INDEX(Table1[[PARTICULAR]:[PARTICULAR]],_xlfn.AGGREGATE(15,3,(Table1[[#This Row],[Details]:[Details]]=$B24)/(Table1[[#This Row],[Details]:[Details]]=$B24)*(ROW(Table1[[Details]:[Details]])-ROW(Table1[[#Headers],[Details]])),COLUMNS($C$10:S23))),"")</f>
        <v/>
      </c>
      <c r="T24" t="str">
        <f>IF(COLUMNS($C$10:T23)&lt;=$A24,INDEX(Table1[[PARTICULAR]:[PARTICULAR]],_xlfn.AGGREGATE(15,3,(Table1[[#This Row],[Details]:[Details]]=$B24)/(Table1[[#This Row],[Details]:[Details]]=$B24)*(ROW(Table1[[Details]:[Details]])-ROW(Table1[[#Headers],[Details]])),COLUMNS($C$10:T23))),"")</f>
        <v/>
      </c>
      <c r="U24" t="str">
        <f>IF(COLUMNS($C$10:U23)&lt;=$A24,INDEX(Table1[[PARTICULAR]:[PARTICULAR]],_xlfn.AGGREGATE(15,3,(Table1[[#This Row],[Details]:[Details]]=$B24)/(Table1[[#This Row],[Details]:[Details]]=$B24)*(ROW(Table1[[Details]:[Details]])-ROW(Table1[[#Headers],[Details]])),COLUMNS($C$10:U23))),"")</f>
        <v/>
      </c>
      <c r="V24" t="str">
        <f>IF(COLUMNS($C$10:V23)&lt;=$A24,INDEX(Table1[[PARTICULAR]:[PARTICULAR]],_xlfn.AGGREGATE(15,3,(Table1[[#This Row],[Details]:[Details]]=$B24)/(Table1[[#This Row],[Details]:[Details]]=$B24)*(ROW(Table1[[Details]:[Details]])-ROW(Table1[[#Headers],[Details]])),COLUMNS($C$10:V23))),"")</f>
        <v/>
      </c>
      <c r="W24" t="str">
        <f>IF(COLUMNS($C$10:W23)&lt;=$A24,INDEX(Table1[[PARTICULAR]:[PARTICULAR]],_xlfn.AGGREGATE(15,3,(Table1[[#This Row],[Details]:[Details]]=$B24)/(Table1[[#This Row],[Details]:[Details]]=$B24)*(ROW(Table1[[Details]:[Details]])-ROW(Table1[[#Headers],[Details]])),COLUMNS($C$10:W23))),"")</f>
        <v/>
      </c>
      <c r="X24" t="str">
        <f>IF(COLUMNS($C$10:X23)&lt;=$A24,INDEX(Table1[[PARTICULAR]:[PARTICULAR]],_xlfn.AGGREGATE(15,3,(Table1[[#This Row],[Details]:[Details]]=$B24)/(Table1[[#This Row],[Details]:[Details]]=$B24)*(ROW(Table1[[Details]:[Details]])-ROW(Table1[[#Headers],[Details]])),COLUMNS($C$10:X23))),"")</f>
        <v/>
      </c>
      <c r="Y24" t="str">
        <f>IF(COLUMNS($C$10:Y23)&lt;=$A24,INDEX(Table1[[PARTICULAR]:[PARTICULAR]],_xlfn.AGGREGATE(15,3,(Table1[[#This Row],[Details]:[Details]]=$B24)/(Table1[[#This Row],[Details]:[Details]]=$B24)*(ROW(Table1[[Details]:[Details]])-ROW(Table1[[#Headers],[Details]])),COLUMNS($C$10:Y23))),"")</f>
        <v/>
      </c>
      <c r="Z24" t="str">
        <f>IF(COLUMNS($C$10:Z23)&lt;=$A24,INDEX(Table1[[PARTICULAR]:[PARTICULAR]],_xlfn.AGGREGATE(15,3,(Table1[[#This Row],[Details]:[Details]]=$B24)/(Table1[[#This Row],[Details]:[Details]]=$B24)*(ROW(Table1[[Details]:[Details]])-ROW(Table1[[#Headers],[Details]])),COLUMNS($C$10:Z23))),"")</f>
        <v/>
      </c>
      <c r="AA24" t="str">
        <f>IF(COLUMNS($C$10:AA23)&lt;=$A24,INDEX(Table1[[PARTICULAR]:[PARTICULAR]],_xlfn.AGGREGATE(15,3,(Table1[[#This Row],[Details]:[Details]]=$B24)/(Table1[[#This Row],[Details]:[Details]]=$B24)*(ROW(Table1[[Details]:[Details]])-ROW(Table1[[#Headers],[Details]])),COLUMNS($C$10:AA23))),"")</f>
        <v/>
      </c>
      <c r="AB24" t="str">
        <f>IF(COLUMNS($C$10:AB23)&lt;=$A24,INDEX(Table1[[PARTICULAR]:[PARTICULAR]],_xlfn.AGGREGATE(15,3,(Table1[[#This Row],[Details]:[Details]]=$B24)/(Table1[[#This Row],[Details]:[Details]]=$B24)*(ROW(Table1[[Details]:[Details]])-ROW(Table1[[#Headers],[Details]])),COLUMNS($C$10:AB23))),"")</f>
        <v/>
      </c>
      <c r="AC24" t="str">
        <f>IF(COLUMNS($C$10:AC23)&lt;=$A24,INDEX(Table1[[PARTICULAR]:[PARTICULAR]],_xlfn.AGGREGATE(15,3,(Table1[[#This Row],[Details]:[Details]]=$B24)/(Table1[[#This Row],[Details]:[Details]]=$B24)*(ROW(Table1[[Details]:[Details]])-ROW(Table1[[#Headers],[Details]])),COLUMNS($C$10:AC23))),"")</f>
        <v/>
      </c>
      <c r="AD24" t="str">
        <f>IF(COLUMNS($C$10:AD23)&lt;=$A24,INDEX(Table1[[PARTICULAR]:[PARTICULAR]],_xlfn.AGGREGATE(15,3,(Table1[[#This Row],[Details]:[Details]]=$B24)/(Table1[[#This Row],[Details]:[Details]]=$B24)*(ROW(Table1[[Details]:[Details]])-ROW(Table1[[#Headers],[Details]])),COLUMNS($C$10:AD23))),"")</f>
        <v/>
      </c>
      <c r="AE24" t="str">
        <f>IF(COLUMNS($C$10:AE23)&lt;=$A24,INDEX(Table1[[PARTICULAR]:[PARTICULAR]],_xlfn.AGGREGATE(15,3,(Table1[[#This Row],[Details]:[Details]]=$B24)/(Table1[[#This Row],[Details]:[Details]]=$B24)*(ROW(Table1[[Details]:[Details]])-ROW(Table1[[#Headers],[Details]])),COLUMNS($C$10:AE23))),"")</f>
        <v/>
      </c>
      <c r="AF24" t="str">
        <f>IF(COLUMNS($C$10:AF23)&lt;=$A24,INDEX(Table1[[PARTICULAR]:[PARTICULAR]],_xlfn.AGGREGATE(15,3,(Table1[[#This Row],[Details]:[Details]]=$B24)/(Table1[[#This Row],[Details]:[Details]]=$B24)*(ROW(Table1[[Details]:[Details]])-ROW(Table1[[#Headers],[Details]])),COLUMNS($C$10:AF23))),"")</f>
        <v/>
      </c>
      <c r="AG24" t="str">
        <f>IF(COLUMNS($C$10:AG23)&lt;=$A24,INDEX(Table1[[PARTICULAR]:[PARTICULAR]],_xlfn.AGGREGATE(15,3,(Table1[[#This Row],[Details]:[Details]]=$B24)/(Table1[[#This Row],[Details]:[Details]]=$B24)*(ROW(Table1[[Details]:[Details]])-ROW(Table1[[#Headers],[Details]])),COLUMNS($C$10:AG23))),"")</f>
        <v/>
      </c>
      <c r="AH24" t="str">
        <f>IF(COLUMNS($C$10:AH23)&lt;=$A24,INDEX(Table1[[PARTICULAR]:[PARTICULAR]],_xlfn.AGGREGATE(15,3,(Table1[[#This Row],[Details]:[Details]]=$B24)/(Table1[[#This Row],[Details]:[Details]]=$B24)*(ROW(Table1[[Details]:[Details]])-ROW(Table1[[#Headers],[Details]])),COLUMNS($C$10:AH23))),"")</f>
        <v/>
      </c>
      <c r="AI24" t="str">
        <f>IF(COLUMNS($C$10:AI23)&lt;=$A24,INDEX(Table1[[PARTICULAR]:[PARTICULAR]],_xlfn.AGGREGATE(15,3,(Table1[[#This Row],[Details]:[Details]]=$B24)/(Table1[[#This Row],[Details]:[Details]]=$B24)*(ROW(Table1[[Details]:[Details]])-ROW(Table1[[#Headers],[Details]])),COLUMNS($C$10:AI23))),"")</f>
        <v/>
      </c>
      <c r="AJ24" t="str">
        <f>IF(COLUMNS($C$10:AJ23)&lt;=$A24,INDEX(Table1[[PARTICULAR]:[PARTICULAR]],_xlfn.AGGREGATE(15,3,(Table1[[#This Row],[Details]:[Details]]=$B24)/(Table1[[#This Row],[Details]:[Details]]=$B24)*(ROW(Table1[[Details]:[Details]])-ROW(Table1[[#Headers],[Details]])),COLUMNS($C$10:AJ23))),"")</f>
        <v/>
      </c>
      <c r="AK24" t="str">
        <f>IF(COLUMNS($C$10:AK23)&lt;=$A24,INDEX(Table1[[PARTICULAR]:[PARTICULAR]],_xlfn.AGGREGATE(15,3,(Table1[[#This Row],[Details]:[Details]]=$B24)/(Table1[[#This Row],[Details]:[Details]]=$B24)*(ROW(Table1[[Details]:[Details]])-ROW(Table1[[#Headers],[Details]])),COLUMNS($C$10:AK23))),"")</f>
        <v/>
      </c>
      <c r="AL24" t="str">
        <f>IF(COLUMNS($C$10:AL23)&lt;=$A24,INDEX(Table1[[PARTICULAR]:[PARTICULAR]],_xlfn.AGGREGATE(15,3,(Table1[[#This Row],[Details]:[Details]]=$B24)/(Table1[[#This Row],[Details]:[Details]]=$B24)*(ROW(Table1[[Details]:[Details]])-ROW(Table1[[#Headers],[Details]])),COLUMNS($C$10:AL23))),"")</f>
        <v/>
      </c>
      <c r="AM24" t="str">
        <f>IF(COLUMNS($C$10:AM23)&lt;=$A24,INDEX(Table1[[PARTICULAR]:[PARTICULAR]],_xlfn.AGGREGATE(15,3,(Table1[[#This Row],[Details]:[Details]]=$B24)/(Table1[[#This Row],[Details]:[Details]]=$B24)*(ROW(Table1[[Details]:[Details]])-ROW(Table1[[#Headers],[Details]])),COLUMNS($C$10:AM23))),"")</f>
        <v/>
      </c>
      <c r="AN24" t="str">
        <f>IF(COLUMNS($C$10:AN23)&lt;=$A24,INDEX(Table1[[PARTICULAR]:[PARTICULAR]],_xlfn.AGGREGATE(15,3,(Table1[[#This Row],[Details]:[Details]]=$B24)/(Table1[[#This Row],[Details]:[Details]]=$B24)*(ROW(Table1[[Details]:[Details]])-ROW(Table1[[#Headers],[Details]])),COLUMNS($C$10:AN23))),"")</f>
        <v/>
      </c>
      <c r="AO24" t="str">
        <f>IF(COLUMNS($C$10:AO23)&lt;=$A24,INDEX(Table1[[PARTICULAR]:[PARTICULAR]],_xlfn.AGGREGATE(15,3,(Table1[[#This Row],[Details]:[Details]]=$B24)/(Table1[[#This Row],[Details]:[Details]]=$B24)*(ROW(Table1[[Details]:[Details]])-ROW(Table1[[#Headers],[Details]])),COLUMNS($C$10:AO23))),"")</f>
        <v/>
      </c>
      <c r="AP24" t="str">
        <f>IF(COLUMNS($C$10:AP23)&lt;=$A24,INDEX(Table1[[PARTICULAR]:[PARTICULAR]],_xlfn.AGGREGATE(15,3,(Table1[[#This Row],[Details]:[Details]]=$B24)/(Table1[[#This Row],[Details]:[Details]]=$B24)*(ROW(Table1[[Details]:[Details]])-ROW(Table1[[#Headers],[Details]])),COLUMNS($C$10:AP23))),"")</f>
        <v/>
      </c>
      <c r="AQ24" t="str">
        <f>IF(COLUMNS($C$10:AQ23)&lt;=$A24,INDEX(Table1[[PARTICULAR]:[PARTICULAR]],_xlfn.AGGREGATE(15,3,(Table1[[#This Row],[Details]:[Details]]=$B24)/(Table1[[#This Row],[Details]:[Details]]=$B24)*(ROW(Table1[[Details]:[Details]])-ROW(Table1[[#Headers],[Details]])),COLUMNS($C$10:AQ23))),"")</f>
        <v/>
      </c>
      <c r="AR24" t="str">
        <f>IF(COLUMNS($C$10:AR23)&lt;=$A24,INDEX(Table1[[PARTICULAR]:[PARTICULAR]],_xlfn.AGGREGATE(15,3,(Table1[[#This Row],[Details]:[Details]]=$B24)/(Table1[[#This Row],[Details]:[Details]]=$B24)*(ROW(Table1[[Details]:[Details]])-ROW(Table1[[#Headers],[Details]])),COLUMNS($C$10:AR23))),"")</f>
        <v/>
      </c>
      <c r="AS24" t="str">
        <f>IF(COLUMNS($C$10:AS23)&lt;=$A24,INDEX(Table1[[PARTICULAR]:[PARTICULAR]],_xlfn.AGGREGATE(15,3,(Table1[[#This Row],[Details]:[Details]]=$B24)/(Table1[[#This Row],[Details]:[Details]]=$B24)*(ROW(Table1[[Details]:[Details]])-ROW(Table1[[#Headers],[Details]])),COLUMNS($C$10:AS23))),"")</f>
        <v/>
      </c>
      <c r="AT24" t="str">
        <f>IF(COLUMNS($C$10:AT23)&lt;=$A24,INDEX(Table1[[PARTICULAR]:[PARTICULAR]],_xlfn.AGGREGATE(15,3,(Table1[[#This Row],[Details]:[Details]]=$B24)/(Table1[[#This Row],[Details]:[Details]]=$B24)*(ROW(Table1[[Details]:[Details]])-ROW(Table1[[#Headers],[Details]])),COLUMNS($C$10:AT23))),"")</f>
        <v/>
      </c>
      <c r="AU24" t="str">
        <f>IF(COLUMNS($C$10:AU23)&lt;=$A24,INDEX(Table1[[PARTICULAR]:[PARTICULAR]],_xlfn.AGGREGATE(15,3,(Table1[[#This Row],[Details]:[Details]]=$B24)/(Table1[[#This Row],[Details]:[Details]]=$B24)*(ROW(Table1[[Details]:[Details]])-ROW(Table1[[#Headers],[Details]])),COLUMNS($C$10:AU23))),"")</f>
        <v/>
      </c>
      <c r="AV24" t="str">
        <f>IF(COLUMNS($C$10:AV23)&lt;=$A24,INDEX(Table1[[PARTICULAR]:[PARTICULAR]],_xlfn.AGGREGATE(15,3,(Table1[[#This Row],[Details]:[Details]]=$B24)/(Table1[[#This Row],[Details]:[Details]]=$B24)*(ROW(Table1[[Details]:[Details]])-ROW(Table1[[#Headers],[Details]])),COLUMNS($C$10:AV23))),"")</f>
        <v/>
      </c>
      <c r="AW24" t="str">
        <f>IF(COLUMNS($C$10:AW23)&lt;=$A24,INDEX(Table1[[PARTICULAR]:[PARTICULAR]],_xlfn.AGGREGATE(15,3,(Table1[[#This Row],[Details]:[Details]]=$B24)/(Table1[[#This Row],[Details]:[Details]]=$B24)*(ROW(Table1[[Details]:[Details]])-ROW(Table1[[#Headers],[Details]])),COLUMNS($C$10:AW23))),"")</f>
        <v/>
      </c>
      <c r="AX24" t="str">
        <f>IF(COLUMNS($C$10:AX23)&lt;=$A24,INDEX(Table1[[PARTICULAR]:[PARTICULAR]],_xlfn.AGGREGATE(15,3,(Table1[[#This Row],[Details]:[Details]]=$B24)/(Table1[[#This Row],[Details]:[Details]]=$B24)*(ROW(Table1[[Details]:[Details]])-ROW(Table1[[#Headers],[Details]])),COLUMNS($C$10:AX23))),"")</f>
        <v/>
      </c>
      <c r="AY24" t="str">
        <f>IF(COLUMNS($C$10:AY23)&lt;=$A24,INDEX(Table1[[PARTICULAR]:[PARTICULAR]],_xlfn.AGGREGATE(15,3,(Table1[[#This Row],[Details]:[Details]]=$B24)/(Table1[[#This Row],[Details]:[Details]]=$B24)*(ROW(Table1[[Details]:[Details]])-ROW(Table1[[#Headers],[Details]])),COLUMNS($C$10:AY23))),"")</f>
        <v/>
      </c>
      <c r="AZ24" t="str">
        <f>IF(COLUMNS($C$10:AZ23)&lt;=$A24,INDEX(Table1[[PARTICULAR]:[PARTICULAR]],_xlfn.AGGREGATE(15,3,(Table1[[#This Row],[Details]:[Details]]=$B24)/(Table1[[#This Row],[Details]:[Details]]=$B24)*(ROW(Table1[[Details]:[Details]])-ROW(Table1[[#Headers],[Details]])),COLUMNS($C$10:AZ23))),"")</f>
        <v/>
      </c>
      <c r="BA24" t="str">
        <f>IF(COLUMNS($C$10:BA23)&lt;=$A24,INDEX(Table1[[PARTICULAR]:[PARTICULAR]],_xlfn.AGGREGATE(15,3,(Table1[[#This Row],[Details]:[Details]]=$B24)/(Table1[[#This Row],[Details]:[Details]]=$B24)*(ROW(Table1[[Details]:[Details]])-ROW(Table1[[#Headers],[Details]])),COLUMNS($C$10:BA23))),"")</f>
        <v/>
      </c>
      <c r="BB24" t="str">
        <f>IF(COLUMNS($C$10:BB23)&lt;=$A24,INDEX(Table1[[PARTICULAR]:[PARTICULAR]],_xlfn.AGGREGATE(15,3,(Table1[[#This Row],[Details]:[Details]]=$B24)/(Table1[[#This Row],[Details]:[Details]]=$B24)*(ROW(Table1[[Details]:[Details]])-ROW(Table1[[#Headers],[Details]])),COLUMNS($C$10:BB23))),"")</f>
        <v/>
      </c>
      <c r="BC24" t="str">
        <f>IF(COLUMNS($C$10:BC23)&lt;=$A24,INDEX(Table1[[PARTICULAR]:[PARTICULAR]],_xlfn.AGGREGATE(15,3,(Table1[[#This Row],[Details]:[Details]]=$B24)/(Table1[[#This Row],[Details]:[Details]]=$B24)*(ROW(Table1[[Details]:[Details]])-ROW(Table1[[#Headers],[Details]])),COLUMNS($C$10:BC23))),"")</f>
        <v/>
      </c>
      <c r="BD24" t="str">
        <f>IF(COLUMNS($C$10:BD23)&lt;=$A24,INDEX(Table1[[PARTICULAR]:[PARTICULAR]],_xlfn.AGGREGATE(15,3,(Table1[[#This Row],[Details]:[Details]]=$B24)/(Table1[[#This Row],[Details]:[Details]]=$B24)*(ROW(Table1[[Details]:[Details]])-ROW(Table1[[#Headers],[Details]])),COLUMNS($C$10:BD23))),"")</f>
        <v/>
      </c>
      <c r="BE24" t="str">
        <f>IF(COLUMNS($C$10:BE23)&lt;=$A24,INDEX(Table1[[PARTICULAR]:[PARTICULAR]],_xlfn.AGGREGATE(15,3,(Table1[[#This Row],[Details]:[Details]]=$B24)/(Table1[[#This Row],[Details]:[Details]]=$B24)*(ROW(Table1[[Details]:[Details]])-ROW(Table1[[#Headers],[Details]])),COLUMNS($C$10:BE23))),"")</f>
        <v/>
      </c>
      <c r="BF24" t="str">
        <f>IF(COLUMNS($C$10:BF23)&lt;=$A24,INDEX(Table1[[PARTICULAR]:[PARTICULAR]],_xlfn.AGGREGATE(15,3,(Table1[[#This Row],[Details]:[Details]]=$B24)/(Table1[[#This Row],[Details]:[Details]]=$B24)*(ROW(Table1[[Details]:[Details]])-ROW(Table1[[#Headers],[Details]])),COLUMNS($C$10:BF23))),"")</f>
        <v/>
      </c>
      <c r="BG24" t="str">
        <f>IF(COLUMNS($C$10:BG23)&lt;=$A24,INDEX(Table1[[PARTICULAR]:[PARTICULAR]],_xlfn.AGGREGATE(15,3,(Table1[[#This Row],[Details]:[Details]]=$B24)/(Table1[[#This Row],[Details]:[Details]]=$B24)*(ROW(Table1[[Details]:[Details]])-ROW(Table1[[#Headers],[Details]])),COLUMNS($C$10:BG23))),"")</f>
        <v/>
      </c>
      <c r="BH24" t="str">
        <f>IF(COLUMNS($C$10:BH23)&lt;=$A24,INDEX(Table1[[PARTICULAR]:[PARTICULAR]],_xlfn.AGGREGATE(15,3,(Table1[[#This Row],[Details]:[Details]]=$B24)/(Table1[[#This Row],[Details]:[Details]]=$B24)*(ROW(Table1[[Details]:[Details]])-ROW(Table1[[#Headers],[Details]])),COLUMNS($C$10:BH23))),"")</f>
        <v/>
      </c>
      <c r="BI24" t="str">
        <f>IF(COLUMNS($C$10:BI23)&lt;=$A24,INDEX(Table1[[PARTICULAR]:[PARTICULAR]],_xlfn.AGGREGATE(15,3,(Table1[[#This Row],[Details]:[Details]]=$B24)/(Table1[[#This Row],[Details]:[Details]]=$B24)*(ROW(Table1[[Details]:[Details]])-ROW(Table1[[#Headers],[Details]])),COLUMNS($C$10:BI23))),"")</f>
        <v/>
      </c>
      <c r="BJ24" t="str">
        <f>IF(COLUMNS($C$10:BJ23)&lt;=$A24,INDEX(Table1[[PARTICULAR]:[PARTICULAR]],_xlfn.AGGREGATE(15,3,(Table1[[#This Row],[Details]:[Details]]=$B24)/(Table1[[#This Row],[Details]:[Details]]=$B24)*(ROW(Table1[[Details]:[Details]])-ROW(Table1[[#Headers],[Details]])),COLUMNS($C$10:BJ23))),"")</f>
        <v/>
      </c>
      <c r="BK24" t="str">
        <f>IF(COLUMNS($C$10:BK23)&lt;=$A24,INDEX(Table1[[PARTICULAR]:[PARTICULAR]],_xlfn.AGGREGATE(15,3,(Table1[[#This Row],[Details]:[Details]]=$B24)/(Table1[[#This Row],[Details]:[Details]]=$B24)*(ROW(Table1[[Details]:[Details]])-ROW(Table1[[#Headers],[Details]])),COLUMNS($C$10:BK23))),"")</f>
        <v/>
      </c>
      <c r="BL24" t="str">
        <f>IF(COLUMNS($C$10:BL23)&lt;=$A24,INDEX(Table1[[PARTICULAR]:[PARTICULAR]],_xlfn.AGGREGATE(15,3,(Table1[[#This Row],[Details]:[Details]]=$B24)/(Table1[[#This Row],[Details]:[Details]]=$B24)*(ROW(Table1[[Details]:[Details]])-ROW(Table1[[#Headers],[Details]])),COLUMNS($C$10:BL23))),"")</f>
        <v/>
      </c>
      <c r="BM24" t="str">
        <f>IF(COLUMNS($C$10:BM23)&lt;=$A24,INDEX(Table1[[PARTICULAR]:[PARTICULAR]],_xlfn.AGGREGATE(15,3,(Table1[[#This Row],[Details]:[Details]]=$B24)/(Table1[[#This Row],[Details]:[Details]]=$B24)*(ROW(Table1[[Details]:[Details]])-ROW(Table1[[#Headers],[Details]])),COLUMNS($C$10:BM23))),"")</f>
        <v/>
      </c>
      <c r="BN24" t="str">
        <f>IF(COLUMNS($C$10:BN23)&lt;=$A24,INDEX(Table1[[PARTICULAR]:[PARTICULAR]],_xlfn.AGGREGATE(15,3,(Table1[[#This Row],[Details]:[Details]]=$B24)/(Table1[[#This Row],[Details]:[Details]]=$B24)*(ROW(Table1[[Details]:[Details]])-ROW(Table1[[#Headers],[Details]])),COLUMNS($C$10:BN23))),"")</f>
        <v/>
      </c>
      <c r="BO24" t="str">
        <f>IF(COLUMNS($C$10:BO23)&lt;=$A24,INDEX(Table1[[PARTICULAR]:[PARTICULAR]],_xlfn.AGGREGATE(15,3,(Table1[[#This Row],[Details]:[Details]]=$B24)/(Table1[[#This Row],[Details]:[Details]]=$B24)*(ROW(Table1[[Details]:[Details]])-ROW(Table1[[#Headers],[Details]])),COLUMNS($C$10:BO23))),"")</f>
        <v/>
      </c>
      <c r="BP24" t="str">
        <f>IF(COLUMNS($C$10:BP23)&lt;=$A24,INDEX(Table1[[PARTICULAR]:[PARTICULAR]],_xlfn.AGGREGATE(15,3,(Table1[[#This Row],[Details]:[Details]]=$B24)/(Table1[[#This Row],[Details]:[Details]]=$B24)*(ROW(Table1[[Details]:[Details]])-ROW(Table1[[#Headers],[Details]])),COLUMNS($C$10:BP23))),"")</f>
        <v/>
      </c>
      <c r="BQ24" t="str">
        <f>IF(COLUMNS($C$10:BQ23)&lt;=$A24,INDEX(Table1[[PARTICULAR]:[PARTICULAR]],_xlfn.AGGREGATE(15,3,(Table1[[#This Row],[Details]:[Details]]=$B24)/(Table1[[#This Row],[Details]:[Details]]=$B24)*(ROW(Table1[[Details]:[Details]])-ROW(Table1[[#Headers],[Details]])),COLUMNS($C$10:BQ23))),"")</f>
        <v/>
      </c>
      <c r="BR24" t="str">
        <f>IF(COLUMNS($C$10:BR23)&lt;=$A24,INDEX(Table1[[PARTICULAR]:[PARTICULAR]],_xlfn.AGGREGATE(15,3,(Table1[[#This Row],[Details]:[Details]]=$B24)/(Table1[[#This Row],[Details]:[Details]]=$B24)*(ROW(Table1[[Details]:[Details]])-ROW(Table1[[#Headers],[Details]])),COLUMNS($C$10:BR23))),"")</f>
        <v/>
      </c>
      <c r="BS24" t="str">
        <f>IF(COLUMNS($C$10:BS23)&lt;=$A24,INDEX(Table1[[PARTICULAR]:[PARTICULAR]],_xlfn.AGGREGATE(15,3,(Table1[[#This Row],[Details]:[Details]]=$B24)/(Table1[[#This Row],[Details]:[Details]]=$B24)*(ROW(Table1[[Details]:[Details]])-ROW(Table1[[#Headers],[Details]])),COLUMNS($C$10:BS23))),"")</f>
        <v/>
      </c>
      <c r="BT24" t="str">
        <f>IF(COLUMNS($C$10:BT23)&lt;=$A24,INDEX(Table1[[PARTICULAR]:[PARTICULAR]],_xlfn.AGGREGATE(15,3,(Table1[[#This Row],[Details]:[Details]]=$B24)/(Table1[[#This Row],[Details]:[Details]]=$B24)*(ROW(Table1[[Details]:[Details]])-ROW(Table1[[#Headers],[Details]])),COLUMNS($C$10:BT23))),"")</f>
        <v/>
      </c>
      <c r="BU24" t="str">
        <f>IF(COLUMNS($C$10:BU23)&lt;=$A24,INDEX(Table1[[PARTICULAR]:[PARTICULAR]],_xlfn.AGGREGATE(15,3,(Table1[[#This Row],[Details]:[Details]]=$B24)/(Table1[[#This Row],[Details]:[Details]]=$B24)*(ROW(Table1[[Details]:[Details]])-ROW(Table1[[#Headers],[Details]])),COLUMNS($C$10:BU23))),"")</f>
        <v/>
      </c>
      <c r="BV24" t="str">
        <f>IF(COLUMNS($C$10:BV23)&lt;=$A24,INDEX(Table1[[PARTICULAR]:[PARTICULAR]],_xlfn.AGGREGATE(15,3,(Table1[[#This Row],[Details]:[Details]]=$B24)/(Table1[[#This Row],[Details]:[Details]]=$B24)*(ROW(Table1[[Details]:[Details]])-ROW(Table1[[#Headers],[Details]])),COLUMNS($C$10:BV23))),"")</f>
        <v/>
      </c>
      <c r="BW24" t="str">
        <f>IF(COLUMNS($C$10:BW23)&lt;=$A24,INDEX(Table1[[PARTICULAR]:[PARTICULAR]],_xlfn.AGGREGATE(15,3,(Table1[[#This Row],[Details]:[Details]]=$B24)/(Table1[[#This Row],[Details]:[Details]]=$B24)*(ROW(Table1[[Details]:[Details]])-ROW(Table1[[#Headers],[Details]])),COLUMNS($C$10:BW23))),"")</f>
        <v/>
      </c>
      <c r="BX24" t="str">
        <f>IF(COLUMNS($C$10:BX23)&lt;=$A24,INDEX(Table1[[PARTICULAR]:[PARTICULAR]],_xlfn.AGGREGATE(15,3,(Table1[[#This Row],[Details]:[Details]]=$B24)/(Table1[[#This Row],[Details]:[Details]]=$B24)*(ROW(Table1[[Details]:[Details]])-ROW(Table1[[#Headers],[Details]])),COLUMNS($C$10:BX23))),"")</f>
        <v/>
      </c>
      <c r="BY24" t="str">
        <f>IF(COLUMNS($C$10:BY23)&lt;=$A24,INDEX(Table1[[PARTICULAR]:[PARTICULAR]],_xlfn.AGGREGATE(15,3,(Table1[[#This Row],[Details]:[Details]]=$B24)/(Table1[[#This Row],[Details]:[Details]]=$B24)*(ROW(Table1[[Details]:[Details]])-ROW(Table1[[#Headers],[Details]])),COLUMNS($C$10:BY23))),"")</f>
        <v/>
      </c>
      <c r="BZ24" t="str">
        <f>IF(COLUMNS($C$10:BZ23)&lt;=$A24,INDEX(Table1[[PARTICULAR]:[PARTICULAR]],_xlfn.AGGREGATE(15,3,(Table1[[#This Row],[Details]:[Details]]=$B24)/(Table1[[#This Row],[Details]:[Details]]=$B24)*(ROW(Table1[[Details]:[Details]])-ROW(Table1[[#Headers],[Details]])),COLUMNS($C$10:BZ23))),"")</f>
        <v/>
      </c>
      <c r="CA24" t="str">
        <f>IF(COLUMNS($C$10:CA23)&lt;=$A24,INDEX(Table1[[PARTICULAR]:[PARTICULAR]],_xlfn.AGGREGATE(15,3,(Table1[[#This Row],[Details]:[Details]]=$B24)/(Table1[[#This Row],[Details]:[Details]]=$B24)*(ROW(Table1[[Details]:[Details]])-ROW(Table1[[#Headers],[Details]])),COLUMNS($C$10:CA23))),"")</f>
        <v/>
      </c>
      <c r="CB24" t="str">
        <f>IF(COLUMNS($C$10:CB23)&lt;=$A24,INDEX(Table1[[PARTICULAR]:[PARTICULAR]],_xlfn.AGGREGATE(15,3,(Table1[[#This Row],[Details]:[Details]]=$B24)/(Table1[[#This Row],[Details]:[Details]]=$B24)*(ROW(Table1[[Details]:[Details]])-ROW(Table1[[#Headers],[Details]])),COLUMNS($C$10:CB23))),"")</f>
        <v/>
      </c>
    </row>
    <row r="25" spans="1:80">
      <c r="A25">
        <f>COUNTIF(Table1[Details],B25)</f>
        <v>14</v>
      </c>
      <c r="B25" s="97" t="str">
        <f>IFERROR(INDEX(Table1[Details],MATCH(0,INDEX(COUNTIF($B$10:B24,Table1[Details]),),0)),"")</f>
        <v>Solvent</v>
      </c>
      <c r="C25" t="str">
        <f>IF(COLUMNS($C$10:C24)&lt;=$A25,INDEX(Table1[[PARTICULAR]:[PARTICULAR]],_xlfn.AGGREGATE(15,3,(Table1[[#This Row],[Details]:[Details]]=$B25)/(Table1[[#This Row],[Details]:[Details]]=$B25)*(ROW(Table1[[Details]:[Details]])-ROW(Table1[[#Headers],[Details]])),COLUMNS($C$10:C24))),"")</f>
        <v>2 Side Solvent Print on 3mm Sunboard</v>
      </c>
      <c r="D25" t="str">
        <f>IF(COLUMNS($C$10:D24)&lt;=$A25,INDEX(Table1[[PARTICULAR]:[PARTICULAR]],_xlfn.AGGREGATE(15,3,(Table1[[#This Row],[Details]:[Details]]=$B25)/(Table1[[#This Row],[Details]:[Details]]=$B25)*(ROW(Table1[[Details]:[Details]])-ROW(Table1[[#Headers],[Details]])),COLUMNS($C$10:D24))),"")</f>
        <v>2 Side Solvent Print on 5mm Sunboard</v>
      </c>
      <c r="E25" t="str">
        <f>IF(COLUMNS($C$10:E24)&lt;=$A25,INDEX(Table1[[PARTICULAR]:[PARTICULAR]],_xlfn.AGGREGATE(15,3,(Table1[[#This Row],[Details]:[Details]]=$B25)/(Table1[[#This Row],[Details]:[Details]]=$B25)*(ROW(Table1[[Details]:[Details]])-ROW(Table1[[#Headers],[Details]])),COLUMNS($C$10:E24))),"")</f>
        <v>Solvent Greyback Vinyl Print with Lam</v>
      </c>
      <c r="F25" t="str">
        <f>IF(COLUMNS($C$10:F24)&lt;=$A25,INDEX(Table1[[PARTICULAR]:[PARTICULAR]],_xlfn.AGGREGATE(15,3,(Table1[[#This Row],[Details]:[Details]]=$B25)/(Table1[[#This Row],[Details]:[Details]]=$B25)*(ROW(Table1[[Details]:[Details]])-ROW(Table1[[#Headers],[Details]])),COLUMNS($C$10:F24))),"")</f>
        <v>Solvent Greyback Vinyl Print with Lam+3m</v>
      </c>
      <c r="G25" t="str">
        <f>IF(COLUMNS($C$10:G24)&lt;=$A25,INDEX(Table1[[PARTICULAR]:[PARTICULAR]],_xlfn.AGGREGATE(15,3,(Table1[[#This Row],[Details]:[Details]]=$B25)/(Table1[[#This Row],[Details]:[Details]]=$B25)*(ROW(Table1[[Details]:[Details]])-ROW(Table1[[#Headers],[Details]])),COLUMNS($C$10:G24))),"")</f>
        <v>Solvent Greyback Vinyl Print with Lam+5m</v>
      </c>
      <c r="H25" t="str">
        <f>IF(COLUMNS($C$10:H24)&lt;=$A25,INDEX(Table1[[PARTICULAR]:[PARTICULAR]],_xlfn.AGGREGATE(15,3,(Table1[[#This Row],[Details]:[Details]]=$B25)/(Table1[[#This Row],[Details]:[Details]]=$B25)*(ROW(Table1[[Details]:[Details]])-ROW(Table1[[#Headers],[Details]])),COLUMNS($C$10:H24))),"")</f>
        <v>Solvent Vinyl Print with 3mm Sunboard</v>
      </c>
      <c r="I25" t="str">
        <f>IF(COLUMNS($C$10:I24)&lt;=$A25,INDEX(Table1[[PARTICULAR]:[PARTICULAR]],_xlfn.AGGREGATE(15,3,(Table1[[#This Row],[Details]:[Details]]=$B25)/(Table1[[#This Row],[Details]:[Details]]=$B25)*(ROW(Table1[[Details]:[Details]])-ROW(Table1[[#Headers],[Details]])),COLUMNS($C$10:I24))),"")</f>
        <v>Solvent Vinyl Print with 5mm Sunboard</v>
      </c>
      <c r="J25" t="str">
        <f>IF(COLUMNS($C$10:J24)&lt;=$A25,INDEX(Table1[[PARTICULAR]:[PARTICULAR]],_xlfn.AGGREGATE(15,3,(Table1[[#This Row],[Details]:[Details]]=$B25)/(Table1[[#This Row],[Details]:[Details]]=$B25)*(ROW(Table1[[Details]:[Details]])-ROW(Table1[[#Headers],[Details]])),COLUMNS($C$10:J24))),"")</f>
        <v>Solvent Vinyl Print With Lam+3mm SB</v>
      </c>
      <c r="K25" t="str">
        <f>IF(COLUMNS($C$10:K24)&lt;=$A25,INDEX(Table1[[PARTICULAR]:[PARTICULAR]],_xlfn.AGGREGATE(15,3,(Table1[[#This Row],[Details]:[Details]]=$B25)/(Table1[[#This Row],[Details]:[Details]]=$B25)*(ROW(Table1[[Details]:[Details]])-ROW(Table1[[#Headers],[Details]])),COLUMNS($C$10:K24))),"")</f>
        <v>Solvent Vinyl Printing</v>
      </c>
      <c r="L25" t="str">
        <f>IF(COLUMNS($C$10:L24)&lt;=$A25,INDEX(Table1[[PARTICULAR]:[PARTICULAR]],_xlfn.AGGREGATE(15,3,(Table1[[#This Row],[Details]:[Details]]=$B25)/(Table1[[#This Row],[Details]:[Details]]=$B25)*(ROW(Table1[[Details]:[Details]])-ROW(Table1[[#Headers],[Details]])),COLUMNS($C$10:L24))),"")</f>
        <v>Solvent Vinyl Printing With Lamination</v>
      </c>
      <c r="M25" t="str">
        <f>IF(COLUMNS($C$10:M24)&lt;=$A25,INDEX(Table1[[PARTICULAR]:[PARTICULAR]],_xlfn.AGGREGATE(15,3,(Table1[[#This Row],[Details]:[Details]]=$B25)/(Table1[[#This Row],[Details]:[Details]]=$B25)*(ROW(Table1[[Details]:[Details]])-ROW(Table1[[#Headers],[Details]])),COLUMNS($C$10:M24))),"")</f>
        <v>Solvent Vinyl On Clear Film</v>
      </c>
      <c r="N25" t="str">
        <f>IF(COLUMNS($C$10:N24)&lt;=$A25,INDEX(Table1[[PARTICULAR]:[PARTICULAR]],_xlfn.AGGREGATE(15,3,(Table1[[#This Row],[Details]:[Details]]=$B25)/(Table1[[#This Row],[Details]:[Details]]=$B25)*(ROW(Table1[[Details]:[Details]])-ROW(Table1[[#Headers],[Details]])),COLUMNS($C$10:N24))),"")</f>
        <v>Solvent Black Back Vinyl Print</v>
      </c>
      <c r="O25" t="str">
        <f>IF(COLUMNS($C$10:O24)&lt;=$A25,INDEX(Table1[[PARTICULAR]:[PARTICULAR]],_xlfn.AGGREGATE(15,3,(Table1[[#This Row],[Details]:[Details]]=$B25)/(Table1[[#This Row],[Details]:[Details]]=$B25)*(ROW(Table1[[Details]:[Details]])-ROW(Table1[[#Headers],[Details]])),COLUMNS($C$10:O24))),"")</f>
        <v>Solvent Black Back Vinyl Print With Lam</v>
      </c>
      <c r="P25" t="str">
        <f>IF(COLUMNS($C$10:P24)&lt;=$A25,INDEX(Table1[[PARTICULAR]:[PARTICULAR]],_xlfn.AGGREGATE(15,3,(Table1[[#This Row],[Details]:[Details]]=$B25)/(Table1[[#This Row],[Details]:[Details]]=$B25)*(ROW(Table1[[Details]:[Details]])-ROW(Table1[[#Headers],[Details]])),COLUMNS($C$10:P24))),"")</f>
        <v>SOLVENT GREYBACK VINYL PRINT</v>
      </c>
      <c r="Q25" t="str">
        <f>IF(COLUMNS($C$10:Q24)&lt;=$A25,INDEX(Table1[[PARTICULAR]:[PARTICULAR]],_xlfn.AGGREGATE(15,3,(Table1[[#This Row],[Details]:[Details]]=$B25)/(Table1[[#This Row],[Details]:[Details]]=$B25)*(ROW(Table1[[Details]:[Details]])-ROW(Table1[[#Headers],[Details]])),COLUMNS($C$10:Q24))),"")</f>
        <v/>
      </c>
      <c r="R25" t="str">
        <f>IF(COLUMNS($C$10:R24)&lt;=$A25,INDEX(Table1[[PARTICULAR]:[PARTICULAR]],_xlfn.AGGREGATE(15,3,(Table1[[#This Row],[Details]:[Details]]=$B25)/(Table1[[#This Row],[Details]:[Details]]=$B25)*(ROW(Table1[[Details]:[Details]])-ROW(Table1[[#Headers],[Details]])),COLUMNS($C$10:R24))),"")</f>
        <v/>
      </c>
      <c r="S25" t="str">
        <f>IF(COLUMNS($C$10:S24)&lt;=$A25,INDEX(Table1[[PARTICULAR]:[PARTICULAR]],_xlfn.AGGREGATE(15,3,(Table1[[#This Row],[Details]:[Details]]=$B25)/(Table1[[#This Row],[Details]:[Details]]=$B25)*(ROW(Table1[[Details]:[Details]])-ROW(Table1[[#Headers],[Details]])),COLUMNS($C$10:S24))),"")</f>
        <v/>
      </c>
      <c r="T25" t="str">
        <f>IF(COLUMNS($C$10:T24)&lt;=$A25,INDEX(Table1[[PARTICULAR]:[PARTICULAR]],_xlfn.AGGREGATE(15,3,(Table1[[#This Row],[Details]:[Details]]=$B25)/(Table1[[#This Row],[Details]:[Details]]=$B25)*(ROW(Table1[[Details]:[Details]])-ROW(Table1[[#Headers],[Details]])),COLUMNS($C$10:T24))),"")</f>
        <v/>
      </c>
      <c r="U25" t="str">
        <f>IF(COLUMNS($C$10:U24)&lt;=$A25,INDEX(Table1[[PARTICULAR]:[PARTICULAR]],_xlfn.AGGREGATE(15,3,(Table1[[#This Row],[Details]:[Details]]=$B25)/(Table1[[#This Row],[Details]:[Details]]=$B25)*(ROW(Table1[[Details]:[Details]])-ROW(Table1[[#Headers],[Details]])),COLUMNS($C$10:U24))),"")</f>
        <v/>
      </c>
      <c r="V25" t="str">
        <f>IF(COLUMNS($C$10:V24)&lt;=$A25,INDEX(Table1[[PARTICULAR]:[PARTICULAR]],_xlfn.AGGREGATE(15,3,(Table1[[#This Row],[Details]:[Details]]=$B25)/(Table1[[#This Row],[Details]:[Details]]=$B25)*(ROW(Table1[[Details]:[Details]])-ROW(Table1[[#Headers],[Details]])),COLUMNS($C$10:V24))),"")</f>
        <v/>
      </c>
      <c r="W25" t="str">
        <f>IF(COLUMNS($C$10:W24)&lt;=$A25,INDEX(Table1[[PARTICULAR]:[PARTICULAR]],_xlfn.AGGREGATE(15,3,(Table1[[#This Row],[Details]:[Details]]=$B25)/(Table1[[#This Row],[Details]:[Details]]=$B25)*(ROW(Table1[[Details]:[Details]])-ROW(Table1[[#Headers],[Details]])),COLUMNS($C$10:W24))),"")</f>
        <v/>
      </c>
      <c r="X25" t="str">
        <f>IF(COLUMNS($C$10:X24)&lt;=$A25,INDEX(Table1[[PARTICULAR]:[PARTICULAR]],_xlfn.AGGREGATE(15,3,(Table1[[#This Row],[Details]:[Details]]=$B25)/(Table1[[#This Row],[Details]:[Details]]=$B25)*(ROW(Table1[[Details]:[Details]])-ROW(Table1[[#Headers],[Details]])),COLUMNS($C$10:X24))),"")</f>
        <v/>
      </c>
      <c r="Y25" t="str">
        <f>IF(COLUMNS($C$10:Y24)&lt;=$A25,INDEX(Table1[[PARTICULAR]:[PARTICULAR]],_xlfn.AGGREGATE(15,3,(Table1[[#This Row],[Details]:[Details]]=$B25)/(Table1[[#This Row],[Details]:[Details]]=$B25)*(ROW(Table1[[Details]:[Details]])-ROW(Table1[[#Headers],[Details]])),COLUMNS($C$10:Y24))),"")</f>
        <v/>
      </c>
      <c r="Z25" t="str">
        <f>IF(COLUMNS($C$10:Z24)&lt;=$A25,INDEX(Table1[[PARTICULAR]:[PARTICULAR]],_xlfn.AGGREGATE(15,3,(Table1[[#This Row],[Details]:[Details]]=$B25)/(Table1[[#This Row],[Details]:[Details]]=$B25)*(ROW(Table1[[Details]:[Details]])-ROW(Table1[[#Headers],[Details]])),COLUMNS($C$10:Z24))),"")</f>
        <v/>
      </c>
      <c r="AA25" t="str">
        <f>IF(COLUMNS($C$10:AA24)&lt;=$A25,INDEX(Table1[[PARTICULAR]:[PARTICULAR]],_xlfn.AGGREGATE(15,3,(Table1[[#This Row],[Details]:[Details]]=$B25)/(Table1[[#This Row],[Details]:[Details]]=$B25)*(ROW(Table1[[Details]:[Details]])-ROW(Table1[[#Headers],[Details]])),COLUMNS($C$10:AA24))),"")</f>
        <v/>
      </c>
      <c r="AB25" t="str">
        <f>IF(COLUMNS($C$10:AB24)&lt;=$A25,INDEX(Table1[[PARTICULAR]:[PARTICULAR]],_xlfn.AGGREGATE(15,3,(Table1[[#This Row],[Details]:[Details]]=$B25)/(Table1[[#This Row],[Details]:[Details]]=$B25)*(ROW(Table1[[Details]:[Details]])-ROW(Table1[[#Headers],[Details]])),COLUMNS($C$10:AB24))),"")</f>
        <v/>
      </c>
      <c r="AC25" t="str">
        <f>IF(COLUMNS($C$10:AC24)&lt;=$A25,INDEX(Table1[[PARTICULAR]:[PARTICULAR]],_xlfn.AGGREGATE(15,3,(Table1[[#This Row],[Details]:[Details]]=$B25)/(Table1[[#This Row],[Details]:[Details]]=$B25)*(ROW(Table1[[Details]:[Details]])-ROW(Table1[[#Headers],[Details]])),COLUMNS($C$10:AC24))),"")</f>
        <v/>
      </c>
      <c r="AD25" t="str">
        <f>IF(COLUMNS($C$10:AD24)&lt;=$A25,INDEX(Table1[[PARTICULAR]:[PARTICULAR]],_xlfn.AGGREGATE(15,3,(Table1[[#This Row],[Details]:[Details]]=$B25)/(Table1[[#This Row],[Details]:[Details]]=$B25)*(ROW(Table1[[Details]:[Details]])-ROW(Table1[[#Headers],[Details]])),COLUMNS($C$10:AD24))),"")</f>
        <v/>
      </c>
      <c r="AE25" t="str">
        <f>IF(COLUMNS($C$10:AE24)&lt;=$A25,INDEX(Table1[[PARTICULAR]:[PARTICULAR]],_xlfn.AGGREGATE(15,3,(Table1[[#This Row],[Details]:[Details]]=$B25)/(Table1[[#This Row],[Details]:[Details]]=$B25)*(ROW(Table1[[Details]:[Details]])-ROW(Table1[[#Headers],[Details]])),COLUMNS($C$10:AE24))),"")</f>
        <v/>
      </c>
      <c r="AF25" t="str">
        <f>IF(COLUMNS($C$10:AF24)&lt;=$A25,INDEX(Table1[[PARTICULAR]:[PARTICULAR]],_xlfn.AGGREGATE(15,3,(Table1[[#This Row],[Details]:[Details]]=$B25)/(Table1[[#This Row],[Details]:[Details]]=$B25)*(ROW(Table1[[Details]:[Details]])-ROW(Table1[[#Headers],[Details]])),COLUMNS($C$10:AF24))),"")</f>
        <v/>
      </c>
      <c r="AG25" t="str">
        <f>IF(COLUMNS($C$10:AG24)&lt;=$A25,INDEX(Table1[[PARTICULAR]:[PARTICULAR]],_xlfn.AGGREGATE(15,3,(Table1[[#This Row],[Details]:[Details]]=$B25)/(Table1[[#This Row],[Details]:[Details]]=$B25)*(ROW(Table1[[Details]:[Details]])-ROW(Table1[[#Headers],[Details]])),COLUMNS($C$10:AG24))),"")</f>
        <v/>
      </c>
      <c r="AH25" t="str">
        <f>IF(COLUMNS($C$10:AH24)&lt;=$A25,INDEX(Table1[[PARTICULAR]:[PARTICULAR]],_xlfn.AGGREGATE(15,3,(Table1[[#This Row],[Details]:[Details]]=$B25)/(Table1[[#This Row],[Details]:[Details]]=$B25)*(ROW(Table1[[Details]:[Details]])-ROW(Table1[[#Headers],[Details]])),COLUMNS($C$10:AH24))),"")</f>
        <v/>
      </c>
      <c r="AI25" t="str">
        <f>IF(COLUMNS($C$10:AI24)&lt;=$A25,INDEX(Table1[[PARTICULAR]:[PARTICULAR]],_xlfn.AGGREGATE(15,3,(Table1[[#This Row],[Details]:[Details]]=$B25)/(Table1[[#This Row],[Details]:[Details]]=$B25)*(ROW(Table1[[Details]:[Details]])-ROW(Table1[[#Headers],[Details]])),COLUMNS($C$10:AI24))),"")</f>
        <v/>
      </c>
      <c r="AJ25" t="str">
        <f>IF(COLUMNS($C$10:AJ24)&lt;=$A25,INDEX(Table1[[PARTICULAR]:[PARTICULAR]],_xlfn.AGGREGATE(15,3,(Table1[[#This Row],[Details]:[Details]]=$B25)/(Table1[[#This Row],[Details]:[Details]]=$B25)*(ROW(Table1[[Details]:[Details]])-ROW(Table1[[#Headers],[Details]])),COLUMNS($C$10:AJ24))),"")</f>
        <v/>
      </c>
      <c r="AK25" t="str">
        <f>IF(COLUMNS($C$10:AK24)&lt;=$A25,INDEX(Table1[[PARTICULAR]:[PARTICULAR]],_xlfn.AGGREGATE(15,3,(Table1[[#This Row],[Details]:[Details]]=$B25)/(Table1[[#This Row],[Details]:[Details]]=$B25)*(ROW(Table1[[Details]:[Details]])-ROW(Table1[[#Headers],[Details]])),COLUMNS($C$10:AK24))),"")</f>
        <v/>
      </c>
      <c r="AL25" t="str">
        <f>IF(COLUMNS($C$10:AL24)&lt;=$A25,INDEX(Table1[[PARTICULAR]:[PARTICULAR]],_xlfn.AGGREGATE(15,3,(Table1[[#This Row],[Details]:[Details]]=$B25)/(Table1[[#This Row],[Details]:[Details]]=$B25)*(ROW(Table1[[Details]:[Details]])-ROW(Table1[[#Headers],[Details]])),COLUMNS($C$10:AL24))),"")</f>
        <v/>
      </c>
      <c r="AM25" t="str">
        <f>IF(COLUMNS($C$10:AM24)&lt;=$A25,INDEX(Table1[[PARTICULAR]:[PARTICULAR]],_xlfn.AGGREGATE(15,3,(Table1[[#This Row],[Details]:[Details]]=$B25)/(Table1[[#This Row],[Details]:[Details]]=$B25)*(ROW(Table1[[Details]:[Details]])-ROW(Table1[[#Headers],[Details]])),COLUMNS($C$10:AM24))),"")</f>
        <v/>
      </c>
      <c r="AN25" t="str">
        <f>IF(COLUMNS($C$10:AN24)&lt;=$A25,INDEX(Table1[[PARTICULAR]:[PARTICULAR]],_xlfn.AGGREGATE(15,3,(Table1[[#This Row],[Details]:[Details]]=$B25)/(Table1[[#This Row],[Details]:[Details]]=$B25)*(ROW(Table1[[Details]:[Details]])-ROW(Table1[[#Headers],[Details]])),COLUMNS($C$10:AN24))),"")</f>
        <v/>
      </c>
      <c r="AO25" t="str">
        <f>IF(COLUMNS($C$10:AO24)&lt;=$A25,INDEX(Table1[[PARTICULAR]:[PARTICULAR]],_xlfn.AGGREGATE(15,3,(Table1[[#This Row],[Details]:[Details]]=$B25)/(Table1[[#This Row],[Details]:[Details]]=$B25)*(ROW(Table1[[Details]:[Details]])-ROW(Table1[[#Headers],[Details]])),COLUMNS($C$10:AO24))),"")</f>
        <v/>
      </c>
      <c r="AP25" t="str">
        <f>IF(COLUMNS($C$10:AP24)&lt;=$A25,INDEX(Table1[[PARTICULAR]:[PARTICULAR]],_xlfn.AGGREGATE(15,3,(Table1[[#This Row],[Details]:[Details]]=$B25)/(Table1[[#This Row],[Details]:[Details]]=$B25)*(ROW(Table1[[Details]:[Details]])-ROW(Table1[[#Headers],[Details]])),COLUMNS($C$10:AP24))),"")</f>
        <v/>
      </c>
      <c r="AQ25" t="str">
        <f>IF(COLUMNS($C$10:AQ24)&lt;=$A25,INDEX(Table1[[PARTICULAR]:[PARTICULAR]],_xlfn.AGGREGATE(15,3,(Table1[[#This Row],[Details]:[Details]]=$B25)/(Table1[[#This Row],[Details]:[Details]]=$B25)*(ROW(Table1[[Details]:[Details]])-ROW(Table1[[#Headers],[Details]])),COLUMNS($C$10:AQ24))),"")</f>
        <v/>
      </c>
      <c r="AR25" t="str">
        <f>IF(COLUMNS($C$10:AR24)&lt;=$A25,INDEX(Table1[[PARTICULAR]:[PARTICULAR]],_xlfn.AGGREGATE(15,3,(Table1[[#This Row],[Details]:[Details]]=$B25)/(Table1[[#This Row],[Details]:[Details]]=$B25)*(ROW(Table1[[Details]:[Details]])-ROW(Table1[[#Headers],[Details]])),COLUMNS($C$10:AR24))),"")</f>
        <v/>
      </c>
      <c r="AS25" t="str">
        <f>IF(COLUMNS($C$10:AS24)&lt;=$A25,INDEX(Table1[[PARTICULAR]:[PARTICULAR]],_xlfn.AGGREGATE(15,3,(Table1[[#This Row],[Details]:[Details]]=$B25)/(Table1[[#This Row],[Details]:[Details]]=$B25)*(ROW(Table1[[Details]:[Details]])-ROW(Table1[[#Headers],[Details]])),COLUMNS($C$10:AS24))),"")</f>
        <v/>
      </c>
      <c r="AT25" t="str">
        <f>IF(COLUMNS($C$10:AT24)&lt;=$A25,INDEX(Table1[[PARTICULAR]:[PARTICULAR]],_xlfn.AGGREGATE(15,3,(Table1[[#This Row],[Details]:[Details]]=$B25)/(Table1[[#This Row],[Details]:[Details]]=$B25)*(ROW(Table1[[Details]:[Details]])-ROW(Table1[[#Headers],[Details]])),COLUMNS($C$10:AT24))),"")</f>
        <v/>
      </c>
      <c r="AU25" t="str">
        <f>IF(COLUMNS($C$10:AU24)&lt;=$A25,INDEX(Table1[[PARTICULAR]:[PARTICULAR]],_xlfn.AGGREGATE(15,3,(Table1[[#This Row],[Details]:[Details]]=$B25)/(Table1[[#This Row],[Details]:[Details]]=$B25)*(ROW(Table1[[Details]:[Details]])-ROW(Table1[[#Headers],[Details]])),COLUMNS($C$10:AU24))),"")</f>
        <v/>
      </c>
      <c r="AV25" t="str">
        <f>IF(COLUMNS($C$10:AV24)&lt;=$A25,INDEX(Table1[[PARTICULAR]:[PARTICULAR]],_xlfn.AGGREGATE(15,3,(Table1[[#This Row],[Details]:[Details]]=$B25)/(Table1[[#This Row],[Details]:[Details]]=$B25)*(ROW(Table1[[Details]:[Details]])-ROW(Table1[[#Headers],[Details]])),COLUMNS($C$10:AV24))),"")</f>
        <v/>
      </c>
      <c r="AW25" t="str">
        <f>IF(COLUMNS($C$10:AW24)&lt;=$A25,INDEX(Table1[[PARTICULAR]:[PARTICULAR]],_xlfn.AGGREGATE(15,3,(Table1[[#This Row],[Details]:[Details]]=$B25)/(Table1[[#This Row],[Details]:[Details]]=$B25)*(ROW(Table1[[Details]:[Details]])-ROW(Table1[[#Headers],[Details]])),COLUMNS($C$10:AW24))),"")</f>
        <v/>
      </c>
      <c r="AX25" t="str">
        <f>IF(COLUMNS($C$10:AX24)&lt;=$A25,INDEX(Table1[[PARTICULAR]:[PARTICULAR]],_xlfn.AGGREGATE(15,3,(Table1[[#This Row],[Details]:[Details]]=$B25)/(Table1[[#This Row],[Details]:[Details]]=$B25)*(ROW(Table1[[Details]:[Details]])-ROW(Table1[[#Headers],[Details]])),COLUMNS($C$10:AX24))),"")</f>
        <v/>
      </c>
      <c r="AY25" t="str">
        <f>IF(COLUMNS($C$10:AY24)&lt;=$A25,INDEX(Table1[[PARTICULAR]:[PARTICULAR]],_xlfn.AGGREGATE(15,3,(Table1[[#This Row],[Details]:[Details]]=$B25)/(Table1[[#This Row],[Details]:[Details]]=$B25)*(ROW(Table1[[Details]:[Details]])-ROW(Table1[[#Headers],[Details]])),COLUMNS($C$10:AY24))),"")</f>
        <v/>
      </c>
      <c r="AZ25" t="str">
        <f>IF(COLUMNS($C$10:AZ24)&lt;=$A25,INDEX(Table1[[PARTICULAR]:[PARTICULAR]],_xlfn.AGGREGATE(15,3,(Table1[[#This Row],[Details]:[Details]]=$B25)/(Table1[[#This Row],[Details]:[Details]]=$B25)*(ROW(Table1[[Details]:[Details]])-ROW(Table1[[#Headers],[Details]])),COLUMNS($C$10:AZ24))),"")</f>
        <v/>
      </c>
      <c r="BA25" t="str">
        <f>IF(COLUMNS($C$10:BA24)&lt;=$A25,INDEX(Table1[[PARTICULAR]:[PARTICULAR]],_xlfn.AGGREGATE(15,3,(Table1[[#This Row],[Details]:[Details]]=$B25)/(Table1[[#This Row],[Details]:[Details]]=$B25)*(ROW(Table1[[Details]:[Details]])-ROW(Table1[[#Headers],[Details]])),COLUMNS($C$10:BA24))),"")</f>
        <v/>
      </c>
      <c r="BB25" t="str">
        <f>IF(COLUMNS($C$10:BB24)&lt;=$A25,INDEX(Table1[[PARTICULAR]:[PARTICULAR]],_xlfn.AGGREGATE(15,3,(Table1[[#This Row],[Details]:[Details]]=$B25)/(Table1[[#This Row],[Details]:[Details]]=$B25)*(ROW(Table1[[Details]:[Details]])-ROW(Table1[[#Headers],[Details]])),COLUMNS($C$10:BB24))),"")</f>
        <v/>
      </c>
      <c r="BC25" t="str">
        <f>IF(COLUMNS($C$10:BC24)&lt;=$A25,INDEX(Table1[[PARTICULAR]:[PARTICULAR]],_xlfn.AGGREGATE(15,3,(Table1[[#This Row],[Details]:[Details]]=$B25)/(Table1[[#This Row],[Details]:[Details]]=$B25)*(ROW(Table1[[Details]:[Details]])-ROW(Table1[[#Headers],[Details]])),COLUMNS($C$10:BC24))),"")</f>
        <v/>
      </c>
      <c r="BD25" t="str">
        <f>IF(COLUMNS($C$10:BD24)&lt;=$A25,INDEX(Table1[[PARTICULAR]:[PARTICULAR]],_xlfn.AGGREGATE(15,3,(Table1[[#This Row],[Details]:[Details]]=$B25)/(Table1[[#This Row],[Details]:[Details]]=$B25)*(ROW(Table1[[Details]:[Details]])-ROW(Table1[[#Headers],[Details]])),COLUMNS($C$10:BD24))),"")</f>
        <v/>
      </c>
      <c r="BE25" t="str">
        <f>IF(COLUMNS($C$10:BE24)&lt;=$A25,INDEX(Table1[[PARTICULAR]:[PARTICULAR]],_xlfn.AGGREGATE(15,3,(Table1[[#This Row],[Details]:[Details]]=$B25)/(Table1[[#This Row],[Details]:[Details]]=$B25)*(ROW(Table1[[Details]:[Details]])-ROW(Table1[[#Headers],[Details]])),COLUMNS($C$10:BE24))),"")</f>
        <v/>
      </c>
      <c r="BF25" t="str">
        <f>IF(COLUMNS($C$10:BF24)&lt;=$A25,INDEX(Table1[[PARTICULAR]:[PARTICULAR]],_xlfn.AGGREGATE(15,3,(Table1[[#This Row],[Details]:[Details]]=$B25)/(Table1[[#This Row],[Details]:[Details]]=$B25)*(ROW(Table1[[Details]:[Details]])-ROW(Table1[[#Headers],[Details]])),COLUMNS($C$10:BF24))),"")</f>
        <v/>
      </c>
      <c r="BG25" t="str">
        <f>IF(COLUMNS($C$10:BG24)&lt;=$A25,INDEX(Table1[[PARTICULAR]:[PARTICULAR]],_xlfn.AGGREGATE(15,3,(Table1[[#This Row],[Details]:[Details]]=$B25)/(Table1[[#This Row],[Details]:[Details]]=$B25)*(ROW(Table1[[Details]:[Details]])-ROW(Table1[[#Headers],[Details]])),COLUMNS($C$10:BG24))),"")</f>
        <v/>
      </c>
      <c r="BH25" t="str">
        <f>IF(COLUMNS($C$10:BH24)&lt;=$A25,INDEX(Table1[[PARTICULAR]:[PARTICULAR]],_xlfn.AGGREGATE(15,3,(Table1[[#This Row],[Details]:[Details]]=$B25)/(Table1[[#This Row],[Details]:[Details]]=$B25)*(ROW(Table1[[Details]:[Details]])-ROW(Table1[[#Headers],[Details]])),COLUMNS($C$10:BH24))),"")</f>
        <v/>
      </c>
      <c r="BI25" t="str">
        <f>IF(COLUMNS($C$10:BI24)&lt;=$A25,INDEX(Table1[[PARTICULAR]:[PARTICULAR]],_xlfn.AGGREGATE(15,3,(Table1[[#This Row],[Details]:[Details]]=$B25)/(Table1[[#This Row],[Details]:[Details]]=$B25)*(ROW(Table1[[Details]:[Details]])-ROW(Table1[[#Headers],[Details]])),COLUMNS($C$10:BI24))),"")</f>
        <v/>
      </c>
      <c r="BJ25" t="str">
        <f>IF(COLUMNS($C$10:BJ24)&lt;=$A25,INDEX(Table1[[PARTICULAR]:[PARTICULAR]],_xlfn.AGGREGATE(15,3,(Table1[[#This Row],[Details]:[Details]]=$B25)/(Table1[[#This Row],[Details]:[Details]]=$B25)*(ROW(Table1[[Details]:[Details]])-ROW(Table1[[#Headers],[Details]])),COLUMNS($C$10:BJ24))),"")</f>
        <v/>
      </c>
      <c r="BK25" t="str">
        <f>IF(COLUMNS($C$10:BK24)&lt;=$A25,INDEX(Table1[[PARTICULAR]:[PARTICULAR]],_xlfn.AGGREGATE(15,3,(Table1[[#This Row],[Details]:[Details]]=$B25)/(Table1[[#This Row],[Details]:[Details]]=$B25)*(ROW(Table1[[Details]:[Details]])-ROW(Table1[[#Headers],[Details]])),COLUMNS($C$10:BK24))),"")</f>
        <v/>
      </c>
      <c r="BL25" t="str">
        <f>IF(COLUMNS($C$10:BL24)&lt;=$A25,INDEX(Table1[[PARTICULAR]:[PARTICULAR]],_xlfn.AGGREGATE(15,3,(Table1[[#This Row],[Details]:[Details]]=$B25)/(Table1[[#This Row],[Details]:[Details]]=$B25)*(ROW(Table1[[Details]:[Details]])-ROW(Table1[[#Headers],[Details]])),COLUMNS($C$10:BL24))),"")</f>
        <v/>
      </c>
      <c r="BM25" t="str">
        <f>IF(COLUMNS($C$10:BM24)&lt;=$A25,INDEX(Table1[[PARTICULAR]:[PARTICULAR]],_xlfn.AGGREGATE(15,3,(Table1[[#This Row],[Details]:[Details]]=$B25)/(Table1[[#This Row],[Details]:[Details]]=$B25)*(ROW(Table1[[Details]:[Details]])-ROW(Table1[[#Headers],[Details]])),COLUMNS($C$10:BM24))),"")</f>
        <v/>
      </c>
      <c r="BN25" t="str">
        <f>IF(COLUMNS($C$10:BN24)&lt;=$A25,INDEX(Table1[[PARTICULAR]:[PARTICULAR]],_xlfn.AGGREGATE(15,3,(Table1[[#This Row],[Details]:[Details]]=$B25)/(Table1[[#This Row],[Details]:[Details]]=$B25)*(ROW(Table1[[Details]:[Details]])-ROW(Table1[[#Headers],[Details]])),COLUMNS($C$10:BN24))),"")</f>
        <v/>
      </c>
      <c r="BO25" t="str">
        <f>IF(COLUMNS($C$10:BO24)&lt;=$A25,INDEX(Table1[[PARTICULAR]:[PARTICULAR]],_xlfn.AGGREGATE(15,3,(Table1[[#This Row],[Details]:[Details]]=$B25)/(Table1[[#This Row],[Details]:[Details]]=$B25)*(ROW(Table1[[Details]:[Details]])-ROW(Table1[[#Headers],[Details]])),COLUMNS($C$10:BO24))),"")</f>
        <v/>
      </c>
      <c r="BP25" t="str">
        <f>IF(COLUMNS($C$10:BP24)&lt;=$A25,INDEX(Table1[[PARTICULAR]:[PARTICULAR]],_xlfn.AGGREGATE(15,3,(Table1[[#This Row],[Details]:[Details]]=$B25)/(Table1[[#This Row],[Details]:[Details]]=$B25)*(ROW(Table1[[Details]:[Details]])-ROW(Table1[[#Headers],[Details]])),COLUMNS($C$10:BP24))),"")</f>
        <v/>
      </c>
      <c r="BQ25" t="str">
        <f>IF(COLUMNS($C$10:BQ24)&lt;=$A25,INDEX(Table1[[PARTICULAR]:[PARTICULAR]],_xlfn.AGGREGATE(15,3,(Table1[[#This Row],[Details]:[Details]]=$B25)/(Table1[[#This Row],[Details]:[Details]]=$B25)*(ROW(Table1[[Details]:[Details]])-ROW(Table1[[#Headers],[Details]])),COLUMNS($C$10:BQ24))),"")</f>
        <v/>
      </c>
      <c r="BR25" t="str">
        <f>IF(COLUMNS($C$10:BR24)&lt;=$A25,INDEX(Table1[[PARTICULAR]:[PARTICULAR]],_xlfn.AGGREGATE(15,3,(Table1[[#This Row],[Details]:[Details]]=$B25)/(Table1[[#This Row],[Details]:[Details]]=$B25)*(ROW(Table1[[Details]:[Details]])-ROW(Table1[[#Headers],[Details]])),COLUMNS($C$10:BR24))),"")</f>
        <v/>
      </c>
      <c r="BS25" t="str">
        <f>IF(COLUMNS($C$10:BS24)&lt;=$A25,INDEX(Table1[[PARTICULAR]:[PARTICULAR]],_xlfn.AGGREGATE(15,3,(Table1[[#This Row],[Details]:[Details]]=$B25)/(Table1[[#This Row],[Details]:[Details]]=$B25)*(ROW(Table1[[Details]:[Details]])-ROW(Table1[[#Headers],[Details]])),COLUMNS($C$10:BS24))),"")</f>
        <v/>
      </c>
      <c r="BT25" t="str">
        <f>IF(COLUMNS($C$10:BT24)&lt;=$A25,INDEX(Table1[[PARTICULAR]:[PARTICULAR]],_xlfn.AGGREGATE(15,3,(Table1[[#This Row],[Details]:[Details]]=$B25)/(Table1[[#This Row],[Details]:[Details]]=$B25)*(ROW(Table1[[Details]:[Details]])-ROW(Table1[[#Headers],[Details]])),COLUMNS($C$10:BT24))),"")</f>
        <v/>
      </c>
      <c r="BU25" t="str">
        <f>IF(COLUMNS($C$10:BU24)&lt;=$A25,INDEX(Table1[[PARTICULAR]:[PARTICULAR]],_xlfn.AGGREGATE(15,3,(Table1[[#This Row],[Details]:[Details]]=$B25)/(Table1[[#This Row],[Details]:[Details]]=$B25)*(ROW(Table1[[Details]:[Details]])-ROW(Table1[[#Headers],[Details]])),COLUMNS($C$10:BU24))),"")</f>
        <v/>
      </c>
      <c r="BV25" t="str">
        <f>IF(COLUMNS($C$10:BV24)&lt;=$A25,INDEX(Table1[[PARTICULAR]:[PARTICULAR]],_xlfn.AGGREGATE(15,3,(Table1[[#This Row],[Details]:[Details]]=$B25)/(Table1[[#This Row],[Details]:[Details]]=$B25)*(ROW(Table1[[Details]:[Details]])-ROW(Table1[[#Headers],[Details]])),COLUMNS($C$10:BV24))),"")</f>
        <v/>
      </c>
      <c r="BW25" t="str">
        <f>IF(COLUMNS($C$10:BW24)&lt;=$A25,INDEX(Table1[[PARTICULAR]:[PARTICULAR]],_xlfn.AGGREGATE(15,3,(Table1[[#This Row],[Details]:[Details]]=$B25)/(Table1[[#This Row],[Details]:[Details]]=$B25)*(ROW(Table1[[Details]:[Details]])-ROW(Table1[[#Headers],[Details]])),COLUMNS($C$10:BW24))),"")</f>
        <v/>
      </c>
      <c r="BX25" t="str">
        <f>IF(COLUMNS($C$10:BX24)&lt;=$A25,INDEX(Table1[[PARTICULAR]:[PARTICULAR]],_xlfn.AGGREGATE(15,3,(Table1[[#This Row],[Details]:[Details]]=$B25)/(Table1[[#This Row],[Details]:[Details]]=$B25)*(ROW(Table1[[Details]:[Details]])-ROW(Table1[[#Headers],[Details]])),COLUMNS($C$10:BX24))),"")</f>
        <v/>
      </c>
      <c r="BY25" t="str">
        <f>IF(COLUMNS($C$10:BY24)&lt;=$A25,INDEX(Table1[[PARTICULAR]:[PARTICULAR]],_xlfn.AGGREGATE(15,3,(Table1[[#This Row],[Details]:[Details]]=$B25)/(Table1[[#This Row],[Details]:[Details]]=$B25)*(ROW(Table1[[Details]:[Details]])-ROW(Table1[[#Headers],[Details]])),COLUMNS($C$10:BY24))),"")</f>
        <v/>
      </c>
      <c r="BZ25" t="str">
        <f>IF(COLUMNS($C$10:BZ24)&lt;=$A25,INDEX(Table1[[PARTICULAR]:[PARTICULAR]],_xlfn.AGGREGATE(15,3,(Table1[[#This Row],[Details]:[Details]]=$B25)/(Table1[[#This Row],[Details]:[Details]]=$B25)*(ROW(Table1[[Details]:[Details]])-ROW(Table1[[#Headers],[Details]])),COLUMNS($C$10:BZ24))),"")</f>
        <v/>
      </c>
      <c r="CA25" t="str">
        <f>IF(COLUMNS($C$10:CA24)&lt;=$A25,INDEX(Table1[[PARTICULAR]:[PARTICULAR]],_xlfn.AGGREGATE(15,3,(Table1[[#This Row],[Details]:[Details]]=$B25)/(Table1[[#This Row],[Details]:[Details]]=$B25)*(ROW(Table1[[Details]:[Details]])-ROW(Table1[[#Headers],[Details]])),COLUMNS($C$10:CA24))),"")</f>
        <v/>
      </c>
      <c r="CB25" t="str">
        <f>IF(COLUMNS($C$10:CB24)&lt;=$A25,INDEX(Table1[[PARTICULAR]:[PARTICULAR]],_xlfn.AGGREGATE(15,3,(Table1[[#This Row],[Details]:[Details]]=$B25)/(Table1[[#This Row],[Details]:[Details]]=$B25)*(ROW(Table1[[Details]:[Details]])-ROW(Table1[[#Headers],[Details]])),COLUMNS($C$10:CB24))),"")</f>
        <v/>
      </c>
    </row>
    <row r="26" spans="1:80">
      <c r="A26">
        <f>COUNTIF(Table1[Details],B26)</f>
        <v>16</v>
      </c>
      <c r="B26" s="97" t="str">
        <f>IFERROR(INDEX(Table1[Details],MATCH(0,INDEX(COUNTIF($B$10:B25,Table1[Details]),),0)),"")</f>
        <v>Prop</v>
      </c>
      <c r="C26" t="str">
        <f>IF(COLUMNS($C$10:C25)&lt;=$A26,INDEX(Table1[[PARTICULAR]:[PARTICULAR]],_xlfn.AGGREGATE(15,3,(Table1[[#This Row],[Details]:[Details]]=$B26)/(Table1[[#This Row],[Details]:[Details]]=$B26)*(ROW(Table1[[Details]:[Details]])-ROW(Table1[[#Headers],[Details]])),COLUMNS($C$10:C25))),"")</f>
        <v>Wooden Easel Standee</v>
      </c>
      <c r="D26" t="str">
        <f>IF(COLUMNS($C$10:D25)&lt;=$A26,INDEX(Table1[[PARTICULAR]:[PARTICULAR]],_xlfn.AGGREGATE(15,3,(Table1[[#This Row],[Details]:[Details]]=$B26)/(Table1[[#This Row],[Details]:[Details]]=$B26)*(ROW(Table1[[Details]:[Details]])-ROW(Table1[[#Headers],[Details]])),COLUMNS($C$10:D25))),"")</f>
        <v>Acrylic Props</v>
      </c>
      <c r="E26" t="str">
        <f>IF(COLUMNS($C$10:E25)&lt;=$A26,INDEX(Table1[[PARTICULAR]:[PARTICULAR]],_xlfn.AGGREGATE(15,3,(Table1[[#This Row],[Details]:[Details]]=$B26)/(Table1[[#This Row],[Details]:[Details]]=$B26)*(ROW(Table1[[Details]:[Details]])-ROW(Table1[[#Headers],[Details]])),COLUMNS($C$10:E25))),"")</f>
        <v>Creamic pot with Duco Paint + Artifical Plant (12 x 12)</v>
      </c>
      <c r="F26" t="str">
        <f>IF(COLUMNS($C$10:F25)&lt;=$A26,INDEX(Table1[[PARTICULAR]:[PARTICULAR]],_xlfn.AGGREGATE(15,3,(Table1[[#This Row],[Details]:[Details]]=$B26)/(Table1[[#This Row],[Details]:[Details]]=$B26)*(ROW(Table1[[Details]:[Details]])-ROW(Table1[[#Headers],[Details]])),COLUMNS($C$10:F25))),"")</f>
        <v>Creamic pot with Duco Paint + Artifical Plant (5.5 x 5.5)</v>
      </c>
      <c r="G26" t="str">
        <f>IF(COLUMNS($C$10:G25)&lt;=$A26,INDEX(Table1[[PARTICULAR]:[PARTICULAR]],_xlfn.AGGREGATE(15,3,(Table1[[#This Row],[Details]:[Details]]=$B26)/(Table1[[#This Row],[Details]:[Details]]=$B26)*(ROW(Table1[[Details]:[Details]])-ROW(Table1[[#Headers],[Details]])),COLUMNS($C$10:G25))),"")</f>
        <v>Creamic pot with Duco Paint + Artifical Plant (7.5 x7.5)</v>
      </c>
      <c r="H26" t="str">
        <f>IF(COLUMNS($C$10:H25)&lt;=$A26,INDEX(Table1[[PARTICULAR]:[PARTICULAR]],_xlfn.AGGREGATE(15,3,(Table1[[#This Row],[Details]:[Details]]=$B26)/(Table1[[#This Row],[Details]:[Details]]=$B26)*(ROW(Table1[[Details]:[Details]])-ROW(Table1[[#Headers],[Details]])),COLUMNS($C$10:H25))),"")</f>
        <v>Fish Wire 100 meters</v>
      </c>
      <c r="I26" t="str">
        <f>IF(COLUMNS($C$10:I25)&lt;=$A26,INDEX(Table1[[PARTICULAR]:[PARTICULAR]],_xlfn.AGGREGATE(15,3,(Table1[[#This Row],[Details]:[Details]]=$B26)/(Table1[[#This Row],[Details]:[Details]]=$B26)*(ROW(Table1[[Details]:[Details]])-ROW(Table1[[#Headers],[Details]])),COLUMNS($C$10:I25))),"")</f>
        <v>Lit Props</v>
      </c>
      <c r="J26" t="str">
        <f>IF(COLUMNS($C$10:J25)&lt;=$A26,INDEX(Table1[[PARTICULAR]:[PARTICULAR]],_xlfn.AGGREGATE(15,3,(Table1[[#This Row],[Details]:[Details]]=$B26)/(Table1[[#This Row],[Details]:[Details]]=$B26)*(ROW(Table1[[Details]:[Details]])-ROW(Table1[[#Headers],[Details]])),COLUMNS($C$10:J25))),"")</f>
        <v>Market Props</v>
      </c>
      <c r="K26" t="str">
        <f>IF(COLUMNS($C$10:K25)&lt;=$A26,INDEX(Table1[[PARTICULAR]:[PARTICULAR]],_xlfn.AGGREGATE(15,3,(Table1[[#This Row],[Details]:[Details]]=$B26)/(Table1[[#This Row],[Details]:[Details]]=$B26)*(ROW(Table1[[Details]:[Details]])-ROW(Table1[[#Headers],[Details]])),COLUMNS($C$10:K25))),"")</f>
        <v>Metel Props</v>
      </c>
      <c r="L26" t="str">
        <f>IF(COLUMNS($C$10:L25)&lt;=$A26,INDEX(Table1[[PARTICULAR]:[PARTICULAR]],_xlfn.AGGREGATE(15,3,(Table1[[#This Row],[Details]:[Details]]=$B26)/(Table1[[#This Row],[Details]:[Details]]=$B26)*(ROW(Table1[[Details]:[Details]])-ROW(Table1[[#Headers],[Details]])),COLUMNS($C$10:L25))),"")</f>
        <v>Props for Promotion</v>
      </c>
      <c r="M26" t="str">
        <f>IF(COLUMNS($C$10:M25)&lt;=$A26,INDEX(Table1[[PARTICULAR]:[PARTICULAR]],_xlfn.AGGREGATE(15,3,(Table1[[#This Row],[Details]:[Details]]=$B26)/(Table1[[#This Row],[Details]:[Details]]=$B26)*(ROW(Table1[[Details]:[Details]])-ROW(Table1[[#Headers],[Details]])),COLUMNS($C$10:M25))),"")</f>
        <v>Spray Print</v>
      </c>
      <c r="N26" t="str">
        <f>IF(COLUMNS($C$10:N25)&lt;=$A26,INDEX(Table1[[PARTICULAR]:[PARTICULAR]],_xlfn.AGGREGATE(15,3,(Table1[[#This Row],[Details]:[Details]]=$B26)/(Table1[[#This Row],[Details]:[Details]]=$B26)*(ROW(Table1[[Details]:[Details]])-ROW(Table1[[#Headers],[Details]])),COLUMNS($C$10:N25))),"")</f>
        <v>Sunboard Props</v>
      </c>
      <c r="O26" t="str">
        <f>IF(COLUMNS($C$10:O25)&lt;=$A26,INDEX(Table1[[PARTICULAR]:[PARTICULAR]],_xlfn.AGGREGATE(15,3,(Table1[[#This Row],[Details]:[Details]]=$B26)/(Table1[[#This Row],[Details]:[Details]]=$B26)*(ROW(Table1[[Details]:[Details]])-ROW(Table1[[#Headers],[Details]])),COLUMNS($C$10:O25))),"")</f>
        <v>Wigs</v>
      </c>
      <c r="P26" t="str">
        <f>IF(COLUMNS($C$10:P25)&lt;=$A26,INDEX(Table1[[PARTICULAR]:[PARTICULAR]],_xlfn.AGGREGATE(15,3,(Table1[[#This Row],[Details]:[Details]]=$B26)/(Table1[[#This Row],[Details]:[Details]]=$B26)*(ROW(Table1[[Details]:[Details]])-ROW(Table1[[#Headers],[Details]])),COLUMNS($C$10:P25))),"")</f>
        <v>Woode Henger</v>
      </c>
      <c r="Q26" t="str">
        <f>IF(COLUMNS($C$10:Q25)&lt;=$A26,INDEX(Table1[[PARTICULAR]:[PARTICULAR]],_xlfn.AGGREGATE(15,3,(Table1[[#This Row],[Details]:[Details]]=$B26)/(Table1[[#This Row],[Details]:[Details]]=$B26)*(ROW(Table1[[Details]:[Details]])-ROW(Table1[[#Headers],[Details]])),COLUMNS($C$10:Q25))),"")</f>
        <v>Wooden Pot Stand with Wallnut Polish</v>
      </c>
      <c r="R26" t="str">
        <f>IF(COLUMNS($C$10:R25)&lt;=$A26,INDEX(Table1[[PARTICULAR]:[PARTICULAR]],_xlfn.AGGREGATE(15,3,(Table1[[#This Row],[Details]:[Details]]=$B26)/(Table1[[#This Row],[Details]:[Details]]=$B26)*(ROW(Table1[[Details]:[Details]])-ROW(Table1[[#Headers],[Details]])),COLUMNS($C$10:R25))),"")</f>
        <v>Wooden Props</v>
      </c>
      <c r="S26" t="str">
        <f>IF(COLUMNS($C$10:S25)&lt;=$A26,INDEX(Table1[[PARTICULAR]:[PARTICULAR]],_xlfn.AGGREGATE(15,3,(Table1[[#This Row],[Details]:[Details]]=$B26)/(Table1[[#This Row],[Details]:[Details]]=$B26)*(ROW(Table1[[Details]:[Details]])-ROW(Table1[[#Headers],[Details]])),COLUMNS($C$10:S25))),"")</f>
        <v/>
      </c>
      <c r="T26" t="str">
        <f>IF(COLUMNS($C$10:T25)&lt;=$A26,INDEX(Table1[[PARTICULAR]:[PARTICULAR]],_xlfn.AGGREGATE(15,3,(Table1[[#This Row],[Details]:[Details]]=$B26)/(Table1[[#This Row],[Details]:[Details]]=$B26)*(ROW(Table1[[Details]:[Details]])-ROW(Table1[[#Headers],[Details]])),COLUMNS($C$10:T25))),"")</f>
        <v/>
      </c>
      <c r="U26" t="str">
        <f>IF(COLUMNS($C$10:U25)&lt;=$A26,INDEX(Table1[[PARTICULAR]:[PARTICULAR]],_xlfn.AGGREGATE(15,3,(Table1[[#This Row],[Details]:[Details]]=$B26)/(Table1[[#This Row],[Details]:[Details]]=$B26)*(ROW(Table1[[Details]:[Details]])-ROW(Table1[[#Headers],[Details]])),COLUMNS($C$10:U25))),"")</f>
        <v/>
      </c>
      <c r="V26" t="str">
        <f>IF(COLUMNS($C$10:V25)&lt;=$A26,INDEX(Table1[[PARTICULAR]:[PARTICULAR]],_xlfn.AGGREGATE(15,3,(Table1[[#This Row],[Details]:[Details]]=$B26)/(Table1[[#This Row],[Details]:[Details]]=$B26)*(ROW(Table1[[Details]:[Details]])-ROW(Table1[[#Headers],[Details]])),COLUMNS($C$10:V25))),"")</f>
        <v/>
      </c>
      <c r="W26" t="str">
        <f>IF(COLUMNS($C$10:W25)&lt;=$A26,INDEX(Table1[[PARTICULAR]:[PARTICULAR]],_xlfn.AGGREGATE(15,3,(Table1[[#This Row],[Details]:[Details]]=$B26)/(Table1[[#This Row],[Details]:[Details]]=$B26)*(ROW(Table1[[Details]:[Details]])-ROW(Table1[[#Headers],[Details]])),COLUMNS($C$10:W25))),"")</f>
        <v/>
      </c>
      <c r="X26" t="str">
        <f>IF(COLUMNS($C$10:X25)&lt;=$A26,INDEX(Table1[[PARTICULAR]:[PARTICULAR]],_xlfn.AGGREGATE(15,3,(Table1[[#This Row],[Details]:[Details]]=$B26)/(Table1[[#This Row],[Details]:[Details]]=$B26)*(ROW(Table1[[Details]:[Details]])-ROW(Table1[[#Headers],[Details]])),COLUMNS($C$10:X25))),"")</f>
        <v/>
      </c>
      <c r="Y26" t="str">
        <f>IF(COLUMNS($C$10:Y25)&lt;=$A26,INDEX(Table1[[PARTICULAR]:[PARTICULAR]],_xlfn.AGGREGATE(15,3,(Table1[[#This Row],[Details]:[Details]]=$B26)/(Table1[[#This Row],[Details]:[Details]]=$B26)*(ROW(Table1[[Details]:[Details]])-ROW(Table1[[#Headers],[Details]])),COLUMNS($C$10:Y25))),"")</f>
        <v/>
      </c>
      <c r="Z26" t="str">
        <f>IF(COLUMNS($C$10:Z25)&lt;=$A26,INDEX(Table1[[PARTICULAR]:[PARTICULAR]],_xlfn.AGGREGATE(15,3,(Table1[[#This Row],[Details]:[Details]]=$B26)/(Table1[[#This Row],[Details]:[Details]]=$B26)*(ROW(Table1[[Details]:[Details]])-ROW(Table1[[#Headers],[Details]])),COLUMNS($C$10:Z25))),"")</f>
        <v/>
      </c>
      <c r="AA26" t="str">
        <f>IF(COLUMNS($C$10:AA25)&lt;=$A26,INDEX(Table1[[PARTICULAR]:[PARTICULAR]],_xlfn.AGGREGATE(15,3,(Table1[[#This Row],[Details]:[Details]]=$B26)/(Table1[[#This Row],[Details]:[Details]]=$B26)*(ROW(Table1[[Details]:[Details]])-ROW(Table1[[#Headers],[Details]])),COLUMNS($C$10:AA25))),"")</f>
        <v/>
      </c>
      <c r="AB26" t="str">
        <f>IF(COLUMNS($C$10:AB25)&lt;=$A26,INDEX(Table1[[PARTICULAR]:[PARTICULAR]],_xlfn.AGGREGATE(15,3,(Table1[[#This Row],[Details]:[Details]]=$B26)/(Table1[[#This Row],[Details]:[Details]]=$B26)*(ROW(Table1[[Details]:[Details]])-ROW(Table1[[#Headers],[Details]])),COLUMNS($C$10:AB25))),"")</f>
        <v/>
      </c>
      <c r="AC26" t="str">
        <f>IF(COLUMNS($C$10:AC25)&lt;=$A26,INDEX(Table1[[PARTICULAR]:[PARTICULAR]],_xlfn.AGGREGATE(15,3,(Table1[[#This Row],[Details]:[Details]]=$B26)/(Table1[[#This Row],[Details]:[Details]]=$B26)*(ROW(Table1[[Details]:[Details]])-ROW(Table1[[#Headers],[Details]])),COLUMNS($C$10:AC25))),"")</f>
        <v/>
      </c>
      <c r="AD26" t="str">
        <f>IF(COLUMNS($C$10:AD25)&lt;=$A26,INDEX(Table1[[PARTICULAR]:[PARTICULAR]],_xlfn.AGGREGATE(15,3,(Table1[[#This Row],[Details]:[Details]]=$B26)/(Table1[[#This Row],[Details]:[Details]]=$B26)*(ROW(Table1[[Details]:[Details]])-ROW(Table1[[#Headers],[Details]])),COLUMNS($C$10:AD25))),"")</f>
        <v/>
      </c>
      <c r="AE26" t="str">
        <f>IF(COLUMNS($C$10:AE25)&lt;=$A26,INDEX(Table1[[PARTICULAR]:[PARTICULAR]],_xlfn.AGGREGATE(15,3,(Table1[[#This Row],[Details]:[Details]]=$B26)/(Table1[[#This Row],[Details]:[Details]]=$B26)*(ROW(Table1[[Details]:[Details]])-ROW(Table1[[#Headers],[Details]])),COLUMNS($C$10:AE25))),"")</f>
        <v/>
      </c>
      <c r="AF26" t="str">
        <f>IF(COLUMNS($C$10:AF25)&lt;=$A26,INDEX(Table1[[PARTICULAR]:[PARTICULAR]],_xlfn.AGGREGATE(15,3,(Table1[[#This Row],[Details]:[Details]]=$B26)/(Table1[[#This Row],[Details]:[Details]]=$B26)*(ROW(Table1[[Details]:[Details]])-ROW(Table1[[#Headers],[Details]])),COLUMNS($C$10:AF25))),"")</f>
        <v/>
      </c>
      <c r="AG26" t="str">
        <f>IF(COLUMNS($C$10:AG25)&lt;=$A26,INDEX(Table1[[PARTICULAR]:[PARTICULAR]],_xlfn.AGGREGATE(15,3,(Table1[[#This Row],[Details]:[Details]]=$B26)/(Table1[[#This Row],[Details]:[Details]]=$B26)*(ROW(Table1[[Details]:[Details]])-ROW(Table1[[#Headers],[Details]])),COLUMNS($C$10:AG25))),"")</f>
        <v/>
      </c>
      <c r="AH26" t="str">
        <f>IF(COLUMNS($C$10:AH25)&lt;=$A26,INDEX(Table1[[PARTICULAR]:[PARTICULAR]],_xlfn.AGGREGATE(15,3,(Table1[[#This Row],[Details]:[Details]]=$B26)/(Table1[[#This Row],[Details]:[Details]]=$B26)*(ROW(Table1[[Details]:[Details]])-ROW(Table1[[#Headers],[Details]])),COLUMNS($C$10:AH25))),"")</f>
        <v/>
      </c>
      <c r="AI26" t="str">
        <f>IF(COLUMNS($C$10:AI25)&lt;=$A26,INDEX(Table1[[PARTICULAR]:[PARTICULAR]],_xlfn.AGGREGATE(15,3,(Table1[[#This Row],[Details]:[Details]]=$B26)/(Table1[[#This Row],[Details]:[Details]]=$B26)*(ROW(Table1[[Details]:[Details]])-ROW(Table1[[#Headers],[Details]])),COLUMNS($C$10:AI25))),"")</f>
        <v/>
      </c>
      <c r="AJ26" t="str">
        <f>IF(COLUMNS($C$10:AJ25)&lt;=$A26,INDEX(Table1[[PARTICULAR]:[PARTICULAR]],_xlfn.AGGREGATE(15,3,(Table1[[#This Row],[Details]:[Details]]=$B26)/(Table1[[#This Row],[Details]:[Details]]=$B26)*(ROW(Table1[[Details]:[Details]])-ROW(Table1[[#Headers],[Details]])),COLUMNS($C$10:AJ25))),"")</f>
        <v/>
      </c>
      <c r="AK26" t="str">
        <f>IF(COLUMNS($C$10:AK25)&lt;=$A26,INDEX(Table1[[PARTICULAR]:[PARTICULAR]],_xlfn.AGGREGATE(15,3,(Table1[[#This Row],[Details]:[Details]]=$B26)/(Table1[[#This Row],[Details]:[Details]]=$B26)*(ROW(Table1[[Details]:[Details]])-ROW(Table1[[#Headers],[Details]])),COLUMNS($C$10:AK25))),"")</f>
        <v/>
      </c>
      <c r="AL26" t="str">
        <f>IF(COLUMNS($C$10:AL25)&lt;=$A26,INDEX(Table1[[PARTICULAR]:[PARTICULAR]],_xlfn.AGGREGATE(15,3,(Table1[[#This Row],[Details]:[Details]]=$B26)/(Table1[[#This Row],[Details]:[Details]]=$B26)*(ROW(Table1[[Details]:[Details]])-ROW(Table1[[#Headers],[Details]])),COLUMNS($C$10:AL25))),"")</f>
        <v/>
      </c>
      <c r="AM26" t="str">
        <f>IF(COLUMNS($C$10:AM25)&lt;=$A26,INDEX(Table1[[PARTICULAR]:[PARTICULAR]],_xlfn.AGGREGATE(15,3,(Table1[[#This Row],[Details]:[Details]]=$B26)/(Table1[[#This Row],[Details]:[Details]]=$B26)*(ROW(Table1[[Details]:[Details]])-ROW(Table1[[#Headers],[Details]])),COLUMNS($C$10:AM25))),"")</f>
        <v/>
      </c>
      <c r="AN26" t="str">
        <f>IF(COLUMNS($C$10:AN25)&lt;=$A26,INDEX(Table1[[PARTICULAR]:[PARTICULAR]],_xlfn.AGGREGATE(15,3,(Table1[[#This Row],[Details]:[Details]]=$B26)/(Table1[[#This Row],[Details]:[Details]]=$B26)*(ROW(Table1[[Details]:[Details]])-ROW(Table1[[#Headers],[Details]])),COLUMNS($C$10:AN25))),"")</f>
        <v/>
      </c>
      <c r="AO26" t="str">
        <f>IF(COLUMNS($C$10:AO25)&lt;=$A26,INDEX(Table1[[PARTICULAR]:[PARTICULAR]],_xlfn.AGGREGATE(15,3,(Table1[[#This Row],[Details]:[Details]]=$B26)/(Table1[[#This Row],[Details]:[Details]]=$B26)*(ROW(Table1[[Details]:[Details]])-ROW(Table1[[#Headers],[Details]])),COLUMNS($C$10:AO25))),"")</f>
        <v/>
      </c>
      <c r="AP26" t="str">
        <f>IF(COLUMNS($C$10:AP25)&lt;=$A26,INDEX(Table1[[PARTICULAR]:[PARTICULAR]],_xlfn.AGGREGATE(15,3,(Table1[[#This Row],[Details]:[Details]]=$B26)/(Table1[[#This Row],[Details]:[Details]]=$B26)*(ROW(Table1[[Details]:[Details]])-ROW(Table1[[#Headers],[Details]])),COLUMNS($C$10:AP25))),"")</f>
        <v/>
      </c>
      <c r="AQ26" t="str">
        <f>IF(COLUMNS($C$10:AQ25)&lt;=$A26,INDEX(Table1[[PARTICULAR]:[PARTICULAR]],_xlfn.AGGREGATE(15,3,(Table1[[#This Row],[Details]:[Details]]=$B26)/(Table1[[#This Row],[Details]:[Details]]=$B26)*(ROW(Table1[[Details]:[Details]])-ROW(Table1[[#Headers],[Details]])),COLUMNS($C$10:AQ25))),"")</f>
        <v/>
      </c>
      <c r="AR26" t="str">
        <f>IF(COLUMNS($C$10:AR25)&lt;=$A26,INDEX(Table1[[PARTICULAR]:[PARTICULAR]],_xlfn.AGGREGATE(15,3,(Table1[[#This Row],[Details]:[Details]]=$B26)/(Table1[[#This Row],[Details]:[Details]]=$B26)*(ROW(Table1[[Details]:[Details]])-ROW(Table1[[#Headers],[Details]])),COLUMNS($C$10:AR25))),"")</f>
        <v/>
      </c>
      <c r="AS26" t="str">
        <f>IF(COLUMNS($C$10:AS25)&lt;=$A26,INDEX(Table1[[PARTICULAR]:[PARTICULAR]],_xlfn.AGGREGATE(15,3,(Table1[[#This Row],[Details]:[Details]]=$B26)/(Table1[[#This Row],[Details]:[Details]]=$B26)*(ROW(Table1[[Details]:[Details]])-ROW(Table1[[#Headers],[Details]])),COLUMNS($C$10:AS25))),"")</f>
        <v/>
      </c>
      <c r="AT26" t="str">
        <f>IF(COLUMNS($C$10:AT25)&lt;=$A26,INDEX(Table1[[PARTICULAR]:[PARTICULAR]],_xlfn.AGGREGATE(15,3,(Table1[[#This Row],[Details]:[Details]]=$B26)/(Table1[[#This Row],[Details]:[Details]]=$B26)*(ROW(Table1[[Details]:[Details]])-ROW(Table1[[#Headers],[Details]])),COLUMNS($C$10:AT25))),"")</f>
        <v/>
      </c>
      <c r="AU26" t="str">
        <f>IF(COLUMNS($C$10:AU25)&lt;=$A26,INDEX(Table1[[PARTICULAR]:[PARTICULAR]],_xlfn.AGGREGATE(15,3,(Table1[[#This Row],[Details]:[Details]]=$B26)/(Table1[[#This Row],[Details]:[Details]]=$B26)*(ROW(Table1[[Details]:[Details]])-ROW(Table1[[#Headers],[Details]])),COLUMNS($C$10:AU25))),"")</f>
        <v/>
      </c>
      <c r="AV26" t="str">
        <f>IF(COLUMNS($C$10:AV25)&lt;=$A26,INDEX(Table1[[PARTICULAR]:[PARTICULAR]],_xlfn.AGGREGATE(15,3,(Table1[[#This Row],[Details]:[Details]]=$B26)/(Table1[[#This Row],[Details]:[Details]]=$B26)*(ROW(Table1[[Details]:[Details]])-ROW(Table1[[#Headers],[Details]])),COLUMNS($C$10:AV25))),"")</f>
        <v/>
      </c>
      <c r="AW26" t="str">
        <f>IF(COLUMNS($C$10:AW25)&lt;=$A26,INDEX(Table1[[PARTICULAR]:[PARTICULAR]],_xlfn.AGGREGATE(15,3,(Table1[[#This Row],[Details]:[Details]]=$B26)/(Table1[[#This Row],[Details]:[Details]]=$B26)*(ROW(Table1[[Details]:[Details]])-ROW(Table1[[#Headers],[Details]])),COLUMNS($C$10:AW25))),"")</f>
        <v/>
      </c>
      <c r="AX26" t="str">
        <f>IF(COLUMNS($C$10:AX25)&lt;=$A26,INDEX(Table1[[PARTICULAR]:[PARTICULAR]],_xlfn.AGGREGATE(15,3,(Table1[[#This Row],[Details]:[Details]]=$B26)/(Table1[[#This Row],[Details]:[Details]]=$B26)*(ROW(Table1[[Details]:[Details]])-ROW(Table1[[#Headers],[Details]])),COLUMNS($C$10:AX25))),"")</f>
        <v/>
      </c>
      <c r="AY26" t="str">
        <f>IF(COLUMNS($C$10:AY25)&lt;=$A26,INDEX(Table1[[PARTICULAR]:[PARTICULAR]],_xlfn.AGGREGATE(15,3,(Table1[[#This Row],[Details]:[Details]]=$B26)/(Table1[[#This Row],[Details]:[Details]]=$B26)*(ROW(Table1[[Details]:[Details]])-ROW(Table1[[#Headers],[Details]])),COLUMNS($C$10:AY25))),"")</f>
        <v/>
      </c>
      <c r="AZ26" t="str">
        <f>IF(COLUMNS($C$10:AZ25)&lt;=$A26,INDEX(Table1[[PARTICULAR]:[PARTICULAR]],_xlfn.AGGREGATE(15,3,(Table1[[#This Row],[Details]:[Details]]=$B26)/(Table1[[#This Row],[Details]:[Details]]=$B26)*(ROW(Table1[[Details]:[Details]])-ROW(Table1[[#Headers],[Details]])),COLUMNS($C$10:AZ25))),"")</f>
        <v/>
      </c>
      <c r="BA26" t="str">
        <f>IF(COLUMNS($C$10:BA25)&lt;=$A26,INDEX(Table1[[PARTICULAR]:[PARTICULAR]],_xlfn.AGGREGATE(15,3,(Table1[[#This Row],[Details]:[Details]]=$B26)/(Table1[[#This Row],[Details]:[Details]]=$B26)*(ROW(Table1[[Details]:[Details]])-ROW(Table1[[#Headers],[Details]])),COLUMNS($C$10:BA25))),"")</f>
        <v/>
      </c>
      <c r="BB26" t="str">
        <f>IF(COLUMNS($C$10:BB25)&lt;=$A26,INDEX(Table1[[PARTICULAR]:[PARTICULAR]],_xlfn.AGGREGATE(15,3,(Table1[[#This Row],[Details]:[Details]]=$B26)/(Table1[[#This Row],[Details]:[Details]]=$B26)*(ROW(Table1[[Details]:[Details]])-ROW(Table1[[#Headers],[Details]])),COLUMNS($C$10:BB25))),"")</f>
        <v/>
      </c>
      <c r="BC26" t="str">
        <f>IF(COLUMNS($C$10:BC25)&lt;=$A26,INDEX(Table1[[PARTICULAR]:[PARTICULAR]],_xlfn.AGGREGATE(15,3,(Table1[[#This Row],[Details]:[Details]]=$B26)/(Table1[[#This Row],[Details]:[Details]]=$B26)*(ROW(Table1[[Details]:[Details]])-ROW(Table1[[#Headers],[Details]])),COLUMNS($C$10:BC25))),"")</f>
        <v/>
      </c>
      <c r="BD26" t="str">
        <f>IF(COLUMNS($C$10:BD25)&lt;=$A26,INDEX(Table1[[PARTICULAR]:[PARTICULAR]],_xlfn.AGGREGATE(15,3,(Table1[[#This Row],[Details]:[Details]]=$B26)/(Table1[[#This Row],[Details]:[Details]]=$B26)*(ROW(Table1[[Details]:[Details]])-ROW(Table1[[#Headers],[Details]])),COLUMNS($C$10:BD25))),"")</f>
        <v/>
      </c>
      <c r="BE26" t="str">
        <f>IF(COLUMNS($C$10:BE25)&lt;=$A26,INDEX(Table1[[PARTICULAR]:[PARTICULAR]],_xlfn.AGGREGATE(15,3,(Table1[[#This Row],[Details]:[Details]]=$B26)/(Table1[[#This Row],[Details]:[Details]]=$B26)*(ROW(Table1[[Details]:[Details]])-ROW(Table1[[#Headers],[Details]])),COLUMNS($C$10:BE25))),"")</f>
        <v/>
      </c>
      <c r="BF26" t="str">
        <f>IF(COLUMNS($C$10:BF25)&lt;=$A26,INDEX(Table1[[PARTICULAR]:[PARTICULAR]],_xlfn.AGGREGATE(15,3,(Table1[[#This Row],[Details]:[Details]]=$B26)/(Table1[[#This Row],[Details]:[Details]]=$B26)*(ROW(Table1[[Details]:[Details]])-ROW(Table1[[#Headers],[Details]])),COLUMNS($C$10:BF25))),"")</f>
        <v/>
      </c>
      <c r="BG26" t="str">
        <f>IF(COLUMNS($C$10:BG25)&lt;=$A26,INDEX(Table1[[PARTICULAR]:[PARTICULAR]],_xlfn.AGGREGATE(15,3,(Table1[[#This Row],[Details]:[Details]]=$B26)/(Table1[[#This Row],[Details]:[Details]]=$B26)*(ROW(Table1[[Details]:[Details]])-ROW(Table1[[#Headers],[Details]])),COLUMNS($C$10:BG25))),"")</f>
        <v/>
      </c>
      <c r="BH26" t="str">
        <f>IF(COLUMNS($C$10:BH25)&lt;=$A26,INDEX(Table1[[PARTICULAR]:[PARTICULAR]],_xlfn.AGGREGATE(15,3,(Table1[[#This Row],[Details]:[Details]]=$B26)/(Table1[[#This Row],[Details]:[Details]]=$B26)*(ROW(Table1[[Details]:[Details]])-ROW(Table1[[#Headers],[Details]])),COLUMNS($C$10:BH25))),"")</f>
        <v/>
      </c>
      <c r="BI26" t="str">
        <f>IF(COLUMNS($C$10:BI25)&lt;=$A26,INDEX(Table1[[PARTICULAR]:[PARTICULAR]],_xlfn.AGGREGATE(15,3,(Table1[[#This Row],[Details]:[Details]]=$B26)/(Table1[[#This Row],[Details]:[Details]]=$B26)*(ROW(Table1[[Details]:[Details]])-ROW(Table1[[#Headers],[Details]])),COLUMNS($C$10:BI25))),"")</f>
        <v/>
      </c>
      <c r="BJ26" t="str">
        <f>IF(COLUMNS($C$10:BJ25)&lt;=$A26,INDEX(Table1[[PARTICULAR]:[PARTICULAR]],_xlfn.AGGREGATE(15,3,(Table1[[#This Row],[Details]:[Details]]=$B26)/(Table1[[#This Row],[Details]:[Details]]=$B26)*(ROW(Table1[[Details]:[Details]])-ROW(Table1[[#Headers],[Details]])),COLUMNS($C$10:BJ25))),"")</f>
        <v/>
      </c>
      <c r="BK26" t="str">
        <f>IF(COLUMNS($C$10:BK25)&lt;=$A26,INDEX(Table1[[PARTICULAR]:[PARTICULAR]],_xlfn.AGGREGATE(15,3,(Table1[[#This Row],[Details]:[Details]]=$B26)/(Table1[[#This Row],[Details]:[Details]]=$B26)*(ROW(Table1[[Details]:[Details]])-ROW(Table1[[#Headers],[Details]])),COLUMNS($C$10:BK25))),"")</f>
        <v/>
      </c>
      <c r="BL26" t="str">
        <f>IF(COLUMNS($C$10:BL25)&lt;=$A26,INDEX(Table1[[PARTICULAR]:[PARTICULAR]],_xlfn.AGGREGATE(15,3,(Table1[[#This Row],[Details]:[Details]]=$B26)/(Table1[[#This Row],[Details]:[Details]]=$B26)*(ROW(Table1[[Details]:[Details]])-ROW(Table1[[#Headers],[Details]])),COLUMNS($C$10:BL25))),"")</f>
        <v/>
      </c>
      <c r="BM26" t="str">
        <f>IF(COLUMNS($C$10:BM25)&lt;=$A26,INDEX(Table1[[PARTICULAR]:[PARTICULAR]],_xlfn.AGGREGATE(15,3,(Table1[[#This Row],[Details]:[Details]]=$B26)/(Table1[[#This Row],[Details]:[Details]]=$B26)*(ROW(Table1[[Details]:[Details]])-ROW(Table1[[#Headers],[Details]])),COLUMNS($C$10:BM25))),"")</f>
        <v/>
      </c>
      <c r="BN26" t="str">
        <f>IF(COLUMNS($C$10:BN25)&lt;=$A26,INDEX(Table1[[PARTICULAR]:[PARTICULAR]],_xlfn.AGGREGATE(15,3,(Table1[[#This Row],[Details]:[Details]]=$B26)/(Table1[[#This Row],[Details]:[Details]]=$B26)*(ROW(Table1[[Details]:[Details]])-ROW(Table1[[#Headers],[Details]])),COLUMNS($C$10:BN25))),"")</f>
        <v/>
      </c>
      <c r="BO26" t="str">
        <f>IF(COLUMNS($C$10:BO25)&lt;=$A26,INDEX(Table1[[PARTICULAR]:[PARTICULAR]],_xlfn.AGGREGATE(15,3,(Table1[[#This Row],[Details]:[Details]]=$B26)/(Table1[[#This Row],[Details]:[Details]]=$B26)*(ROW(Table1[[Details]:[Details]])-ROW(Table1[[#Headers],[Details]])),COLUMNS($C$10:BO25))),"")</f>
        <v/>
      </c>
      <c r="BP26" t="str">
        <f>IF(COLUMNS($C$10:BP25)&lt;=$A26,INDEX(Table1[[PARTICULAR]:[PARTICULAR]],_xlfn.AGGREGATE(15,3,(Table1[[#This Row],[Details]:[Details]]=$B26)/(Table1[[#This Row],[Details]:[Details]]=$B26)*(ROW(Table1[[Details]:[Details]])-ROW(Table1[[#Headers],[Details]])),COLUMNS($C$10:BP25))),"")</f>
        <v/>
      </c>
      <c r="BQ26" t="str">
        <f>IF(COLUMNS($C$10:BQ25)&lt;=$A26,INDEX(Table1[[PARTICULAR]:[PARTICULAR]],_xlfn.AGGREGATE(15,3,(Table1[[#This Row],[Details]:[Details]]=$B26)/(Table1[[#This Row],[Details]:[Details]]=$B26)*(ROW(Table1[[Details]:[Details]])-ROW(Table1[[#Headers],[Details]])),COLUMNS($C$10:BQ25))),"")</f>
        <v/>
      </c>
      <c r="BR26" t="str">
        <f>IF(COLUMNS($C$10:BR25)&lt;=$A26,INDEX(Table1[[PARTICULAR]:[PARTICULAR]],_xlfn.AGGREGATE(15,3,(Table1[[#This Row],[Details]:[Details]]=$B26)/(Table1[[#This Row],[Details]:[Details]]=$B26)*(ROW(Table1[[Details]:[Details]])-ROW(Table1[[#Headers],[Details]])),COLUMNS($C$10:BR25))),"")</f>
        <v/>
      </c>
      <c r="BS26" t="str">
        <f>IF(COLUMNS($C$10:BS25)&lt;=$A26,INDEX(Table1[[PARTICULAR]:[PARTICULAR]],_xlfn.AGGREGATE(15,3,(Table1[[#This Row],[Details]:[Details]]=$B26)/(Table1[[#This Row],[Details]:[Details]]=$B26)*(ROW(Table1[[Details]:[Details]])-ROW(Table1[[#Headers],[Details]])),COLUMNS($C$10:BS25))),"")</f>
        <v/>
      </c>
      <c r="BT26" t="str">
        <f>IF(COLUMNS($C$10:BT25)&lt;=$A26,INDEX(Table1[[PARTICULAR]:[PARTICULAR]],_xlfn.AGGREGATE(15,3,(Table1[[#This Row],[Details]:[Details]]=$B26)/(Table1[[#This Row],[Details]:[Details]]=$B26)*(ROW(Table1[[Details]:[Details]])-ROW(Table1[[#Headers],[Details]])),COLUMNS($C$10:BT25))),"")</f>
        <v/>
      </c>
      <c r="BU26" t="str">
        <f>IF(COLUMNS($C$10:BU25)&lt;=$A26,INDEX(Table1[[PARTICULAR]:[PARTICULAR]],_xlfn.AGGREGATE(15,3,(Table1[[#This Row],[Details]:[Details]]=$B26)/(Table1[[#This Row],[Details]:[Details]]=$B26)*(ROW(Table1[[Details]:[Details]])-ROW(Table1[[#Headers],[Details]])),COLUMNS($C$10:BU25))),"")</f>
        <v/>
      </c>
      <c r="BV26" t="str">
        <f>IF(COLUMNS($C$10:BV25)&lt;=$A26,INDEX(Table1[[PARTICULAR]:[PARTICULAR]],_xlfn.AGGREGATE(15,3,(Table1[[#This Row],[Details]:[Details]]=$B26)/(Table1[[#This Row],[Details]:[Details]]=$B26)*(ROW(Table1[[Details]:[Details]])-ROW(Table1[[#Headers],[Details]])),COLUMNS($C$10:BV25))),"")</f>
        <v/>
      </c>
      <c r="BW26" t="str">
        <f>IF(COLUMNS($C$10:BW25)&lt;=$A26,INDEX(Table1[[PARTICULAR]:[PARTICULAR]],_xlfn.AGGREGATE(15,3,(Table1[[#This Row],[Details]:[Details]]=$B26)/(Table1[[#This Row],[Details]:[Details]]=$B26)*(ROW(Table1[[Details]:[Details]])-ROW(Table1[[#Headers],[Details]])),COLUMNS($C$10:BW25))),"")</f>
        <v/>
      </c>
      <c r="BX26" t="str">
        <f>IF(COLUMNS($C$10:BX25)&lt;=$A26,INDEX(Table1[[PARTICULAR]:[PARTICULAR]],_xlfn.AGGREGATE(15,3,(Table1[[#This Row],[Details]:[Details]]=$B26)/(Table1[[#This Row],[Details]:[Details]]=$B26)*(ROW(Table1[[Details]:[Details]])-ROW(Table1[[#Headers],[Details]])),COLUMNS($C$10:BX25))),"")</f>
        <v/>
      </c>
      <c r="BY26" t="str">
        <f>IF(COLUMNS($C$10:BY25)&lt;=$A26,INDEX(Table1[[PARTICULAR]:[PARTICULAR]],_xlfn.AGGREGATE(15,3,(Table1[[#This Row],[Details]:[Details]]=$B26)/(Table1[[#This Row],[Details]:[Details]]=$B26)*(ROW(Table1[[Details]:[Details]])-ROW(Table1[[#Headers],[Details]])),COLUMNS($C$10:BY25))),"")</f>
        <v/>
      </c>
      <c r="BZ26" t="str">
        <f>IF(COLUMNS($C$10:BZ25)&lt;=$A26,INDEX(Table1[[PARTICULAR]:[PARTICULAR]],_xlfn.AGGREGATE(15,3,(Table1[[#This Row],[Details]:[Details]]=$B26)/(Table1[[#This Row],[Details]:[Details]]=$B26)*(ROW(Table1[[Details]:[Details]])-ROW(Table1[[#Headers],[Details]])),COLUMNS($C$10:BZ25))),"")</f>
        <v/>
      </c>
      <c r="CA26" t="str">
        <f>IF(COLUMNS($C$10:CA25)&lt;=$A26,INDEX(Table1[[PARTICULAR]:[PARTICULAR]],_xlfn.AGGREGATE(15,3,(Table1[[#This Row],[Details]:[Details]]=$B26)/(Table1[[#This Row],[Details]:[Details]]=$B26)*(ROW(Table1[[Details]:[Details]])-ROW(Table1[[#Headers],[Details]])),COLUMNS($C$10:CA25))),"")</f>
        <v/>
      </c>
      <c r="CB26" t="str">
        <f>IF(COLUMNS($C$10:CB25)&lt;=$A26,INDEX(Table1[[PARTICULAR]:[PARTICULAR]],_xlfn.AGGREGATE(15,3,(Table1[[#This Row],[Details]:[Details]]=$B26)/(Table1[[#This Row],[Details]:[Details]]=$B26)*(ROW(Table1[[Details]:[Details]])-ROW(Table1[[#Headers],[Details]])),COLUMNS($C$10:CB25))),"")</f>
        <v/>
      </c>
    </row>
    <row r="27" spans="1:80">
      <c r="A27">
        <f>COUNTIF(Table1[Details],B27)</f>
        <v>7</v>
      </c>
      <c r="B27" s="97" t="str">
        <f>IFERROR(INDEX(Table1[Details],MATCH(0,INDEX(COUNTIF($B$10:B26,Table1[Details]),),0)),"")</f>
        <v>Sunboard</v>
      </c>
      <c r="C27" t="str">
        <f>IF(COLUMNS($C$10:C26)&lt;=$A27,INDEX(Table1[[PARTICULAR]:[PARTICULAR]],_xlfn.AGGREGATE(15,3,(Table1[[#This Row],[Details]:[Details]]=$B27)/(Table1[[#This Row],[Details]:[Details]]=$B27)*(ROW(Table1[[Details]:[Details]])-ROW(Table1[[#Headers],[Details]])),COLUMNS($C$10:C26))),"")</f>
        <v>Shelf Talker 22" X 7"+3mm Black SB</v>
      </c>
      <c r="D27" t="str">
        <f>IF(COLUMNS($C$10:D26)&lt;=$A27,INDEX(Table1[[PARTICULAR]:[PARTICULAR]],_xlfn.AGGREGATE(15,3,(Table1[[#This Row],[Details]:[Details]]=$B27)/(Table1[[#This Row],[Details]:[Details]]=$B27)*(ROW(Table1[[Details]:[Details]])-ROW(Table1[[#Headers],[Details]])),COLUMNS($C$10:D26))),"")</f>
        <v>Sun Board 10mm</v>
      </c>
      <c r="E27" t="str">
        <f>IF(COLUMNS($C$10:E26)&lt;=$A27,INDEX(Table1[[PARTICULAR]:[PARTICULAR]],_xlfn.AGGREGATE(15,3,(Table1[[#This Row],[Details]:[Details]]=$B27)/(Table1[[#This Row],[Details]:[Details]]=$B27)*(ROW(Table1[[Details]:[Details]])-ROW(Table1[[#Headers],[Details]])),COLUMNS($C$10:E26))),"")</f>
        <v>Sun Board 2mm</v>
      </c>
      <c r="F27" t="str">
        <f>IF(COLUMNS($C$10:F26)&lt;=$A27,INDEX(Table1[[PARTICULAR]:[PARTICULAR]],_xlfn.AGGREGATE(15,3,(Table1[[#This Row],[Details]:[Details]]=$B27)/(Table1[[#This Row],[Details]:[Details]]=$B27)*(ROW(Table1[[Details]:[Details]])-ROW(Table1[[#Headers],[Details]])),COLUMNS($C$10:F26))),"")</f>
        <v>Sun Board 3 mm</v>
      </c>
      <c r="G27" t="str">
        <f>IF(COLUMNS($C$10:G26)&lt;=$A27,INDEX(Table1[[PARTICULAR]:[PARTICULAR]],_xlfn.AGGREGATE(15,3,(Table1[[#This Row],[Details]:[Details]]=$B27)/(Table1[[#This Row],[Details]:[Details]]=$B27)*(ROW(Table1[[Details]:[Details]])-ROW(Table1[[#Headers],[Details]])),COLUMNS($C$10:G26))),"")</f>
        <v>Sun Board 5 mm</v>
      </c>
      <c r="H27" t="str">
        <f>IF(COLUMNS($C$10:H26)&lt;=$A27,INDEX(Table1[[PARTICULAR]:[PARTICULAR]],_xlfn.AGGREGATE(15,3,(Table1[[#This Row],[Details]:[Details]]=$B27)/(Table1[[#This Row],[Details]:[Details]]=$B27)*(ROW(Table1[[Details]:[Details]])-ROW(Table1[[#Headers],[Details]])),COLUMNS($C$10:H26))),"")</f>
        <v>Sun Board 6mm</v>
      </c>
      <c r="I27" t="str">
        <f>IF(COLUMNS($C$10:I26)&lt;=$A27,INDEX(Table1[[PARTICULAR]:[PARTICULAR]],_xlfn.AGGREGATE(15,3,(Table1[[#This Row],[Details]:[Details]]=$B27)/(Table1[[#This Row],[Details]:[Details]]=$B27)*(ROW(Table1[[Details]:[Details]])-ROW(Table1[[#Headers],[Details]])),COLUMNS($C$10:I26))),"")</f>
        <v>Black Sun Board 3mm</v>
      </c>
      <c r="J27" t="str">
        <f>IF(COLUMNS($C$10:J26)&lt;=$A27,INDEX(Table1[[PARTICULAR]:[PARTICULAR]],_xlfn.AGGREGATE(15,3,(Table1[[#This Row],[Details]:[Details]]=$B27)/(Table1[[#This Row],[Details]:[Details]]=$B27)*(ROW(Table1[[Details]:[Details]])-ROW(Table1[[#Headers],[Details]])),COLUMNS($C$10:J26))),"")</f>
        <v/>
      </c>
      <c r="K27" t="str">
        <f>IF(COLUMNS($C$10:K26)&lt;=$A27,INDEX(Table1[[PARTICULAR]:[PARTICULAR]],_xlfn.AGGREGATE(15,3,(Table1[[#This Row],[Details]:[Details]]=$B27)/(Table1[[#This Row],[Details]:[Details]]=$B27)*(ROW(Table1[[Details]:[Details]])-ROW(Table1[[#Headers],[Details]])),COLUMNS($C$10:K26))),"")</f>
        <v/>
      </c>
      <c r="L27" t="str">
        <f>IF(COLUMNS($C$10:L26)&lt;=$A27,INDEX(Table1[[PARTICULAR]:[PARTICULAR]],_xlfn.AGGREGATE(15,3,(Table1[[#This Row],[Details]:[Details]]=$B27)/(Table1[[#This Row],[Details]:[Details]]=$B27)*(ROW(Table1[[Details]:[Details]])-ROW(Table1[[#Headers],[Details]])),COLUMNS($C$10:L26))),"")</f>
        <v/>
      </c>
      <c r="M27" t="str">
        <f>IF(COLUMNS($C$10:M26)&lt;=$A27,INDEX(Table1[[PARTICULAR]:[PARTICULAR]],_xlfn.AGGREGATE(15,3,(Table1[[#This Row],[Details]:[Details]]=$B27)/(Table1[[#This Row],[Details]:[Details]]=$B27)*(ROW(Table1[[Details]:[Details]])-ROW(Table1[[#Headers],[Details]])),COLUMNS($C$10:M26))),"")</f>
        <v/>
      </c>
      <c r="N27" t="str">
        <f>IF(COLUMNS($C$10:N26)&lt;=$A27,INDEX(Table1[[PARTICULAR]:[PARTICULAR]],_xlfn.AGGREGATE(15,3,(Table1[[#This Row],[Details]:[Details]]=$B27)/(Table1[[#This Row],[Details]:[Details]]=$B27)*(ROW(Table1[[Details]:[Details]])-ROW(Table1[[#Headers],[Details]])),COLUMNS($C$10:N26))),"")</f>
        <v/>
      </c>
      <c r="O27" t="str">
        <f>IF(COLUMNS($C$10:O26)&lt;=$A27,INDEX(Table1[[PARTICULAR]:[PARTICULAR]],_xlfn.AGGREGATE(15,3,(Table1[[#This Row],[Details]:[Details]]=$B27)/(Table1[[#This Row],[Details]:[Details]]=$B27)*(ROW(Table1[[Details]:[Details]])-ROW(Table1[[#Headers],[Details]])),COLUMNS($C$10:O26))),"")</f>
        <v/>
      </c>
      <c r="P27" t="str">
        <f>IF(COLUMNS($C$10:P26)&lt;=$A27,INDEX(Table1[[PARTICULAR]:[PARTICULAR]],_xlfn.AGGREGATE(15,3,(Table1[[#This Row],[Details]:[Details]]=$B27)/(Table1[[#This Row],[Details]:[Details]]=$B27)*(ROW(Table1[[Details]:[Details]])-ROW(Table1[[#Headers],[Details]])),COLUMNS($C$10:P26))),"")</f>
        <v/>
      </c>
      <c r="Q27" t="str">
        <f>IF(COLUMNS($C$10:Q26)&lt;=$A27,INDEX(Table1[[PARTICULAR]:[PARTICULAR]],_xlfn.AGGREGATE(15,3,(Table1[[#This Row],[Details]:[Details]]=$B27)/(Table1[[#This Row],[Details]:[Details]]=$B27)*(ROW(Table1[[Details]:[Details]])-ROW(Table1[[#Headers],[Details]])),COLUMNS($C$10:Q26))),"")</f>
        <v/>
      </c>
      <c r="R27" t="str">
        <f>IF(COLUMNS($C$10:R26)&lt;=$A27,INDEX(Table1[[PARTICULAR]:[PARTICULAR]],_xlfn.AGGREGATE(15,3,(Table1[[#This Row],[Details]:[Details]]=$B27)/(Table1[[#This Row],[Details]:[Details]]=$B27)*(ROW(Table1[[Details]:[Details]])-ROW(Table1[[#Headers],[Details]])),COLUMNS($C$10:R26))),"")</f>
        <v/>
      </c>
      <c r="S27" t="str">
        <f>IF(COLUMNS($C$10:S26)&lt;=$A27,INDEX(Table1[[PARTICULAR]:[PARTICULAR]],_xlfn.AGGREGATE(15,3,(Table1[[#This Row],[Details]:[Details]]=$B27)/(Table1[[#This Row],[Details]:[Details]]=$B27)*(ROW(Table1[[Details]:[Details]])-ROW(Table1[[#Headers],[Details]])),COLUMNS($C$10:S26))),"")</f>
        <v/>
      </c>
      <c r="T27" t="str">
        <f>IF(COLUMNS($C$10:T26)&lt;=$A27,INDEX(Table1[[PARTICULAR]:[PARTICULAR]],_xlfn.AGGREGATE(15,3,(Table1[[#This Row],[Details]:[Details]]=$B27)/(Table1[[#This Row],[Details]:[Details]]=$B27)*(ROW(Table1[[Details]:[Details]])-ROW(Table1[[#Headers],[Details]])),COLUMNS($C$10:T26))),"")</f>
        <v/>
      </c>
      <c r="U27" t="str">
        <f>IF(COLUMNS($C$10:U26)&lt;=$A27,INDEX(Table1[[PARTICULAR]:[PARTICULAR]],_xlfn.AGGREGATE(15,3,(Table1[[#This Row],[Details]:[Details]]=$B27)/(Table1[[#This Row],[Details]:[Details]]=$B27)*(ROW(Table1[[Details]:[Details]])-ROW(Table1[[#Headers],[Details]])),COLUMNS($C$10:U26))),"")</f>
        <v/>
      </c>
      <c r="V27" t="str">
        <f>IF(COLUMNS($C$10:V26)&lt;=$A27,INDEX(Table1[[PARTICULAR]:[PARTICULAR]],_xlfn.AGGREGATE(15,3,(Table1[[#This Row],[Details]:[Details]]=$B27)/(Table1[[#This Row],[Details]:[Details]]=$B27)*(ROW(Table1[[Details]:[Details]])-ROW(Table1[[#Headers],[Details]])),COLUMNS($C$10:V26))),"")</f>
        <v/>
      </c>
      <c r="W27" t="str">
        <f>IF(COLUMNS($C$10:W26)&lt;=$A27,INDEX(Table1[[PARTICULAR]:[PARTICULAR]],_xlfn.AGGREGATE(15,3,(Table1[[#This Row],[Details]:[Details]]=$B27)/(Table1[[#This Row],[Details]:[Details]]=$B27)*(ROW(Table1[[Details]:[Details]])-ROW(Table1[[#Headers],[Details]])),COLUMNS($C$10:W26))),"")</f>
        <v/>
      </c>
      <c r="X27" t="str">
        <f>IF(COLUMNS($C$10:X26)&lt;=$A27,INDEX(Table1[[PARTICULAR]:[PARTICULAR]],_xlfn.AGGREGATE(15,3,(Table1[[#This Row],[Details]:[Details]]=$B27)/(Table1[[#This Row],[Details]:[Details]]=$B27)*(ROW(Table1[[Details]:[Details]])-ROW(Table1[[#Headers],[Details]])),COLUMNS($C$10:X26))),"")</f>
        <v/>
      </c>
      <c r="Y27" t="str">
        <f>IF(COLUMNS($C$10:Y26)&lt;=$A27,INDEX(Table1[[PARTICULAR]:[PARTICULAR]],_xlfn.AGGREGATE(15,3,(Table1[[#This Row],[Details]:[Details]]=$B27)/(Table1[[#This Row],[Details]:[Details]]=$B27)*(ROW(Table1[[Details]:[Details]])-ROW(Table1[[#Headers],[Details]])),COLUMNS($C$10:Y26))),"")</f>
        <v/>
      </c>
      <c r="Z27" t="str">
        <f>IF(COLUMNS($C$10:Z26)&lt;=$A27,INDEX(Table1[[PARTICULAR]:[PARTICULAR]],_xlfn.AGGREGATE(15,3,(Table1[[#This Row],[Details]:[Details]]=$B27)/(Table1[[#This Row],[Details]:[Details]]=$B27)*(ROW(Table1[[Details]:[Details]])-ROW(Table1[[#Headers],[Details]])),COLUMNS($C$10:Z26))),"")</f>
        <v/>
      </c>
      <c r="AA27" t="str">
        <f>IF(COLUMNS($C$10:AA26)&lt;=$A27,INDEX(Table1[[PARTICULAR]:[PARTICULAR]],_xlfn.AGGREGATE(15,3,(Table1[[#This Row],[Details]:[Details]]=$B27)/(Table1[[#This Row],[Details]:[Details]]=$B27)*(ROW(Table1[[Details]:[Details]])-ROW(Table1[[#Headers],[Details]])),COLUMNS($C$10:AA26))),"")</f>
        <v/>
      </c>
      <c r="AB27" t="str">
        <f>IF(COLUMNS($C$10:AB26)&lt;=$A27,INDEX(Table1[[PARTICULAR]:[PARTICULAR]],_xlfn.AGGREGATE(15,3,(Table1[[#This Row],[Details]:[Details]]=$B27)/(Table1[[#This Row],[Details]:[Details]]=$B27)*(ROW(Table1[[Details]:[Details]])-ROW(Table1[[#Headers],[Details]])),COLUMNS($C$10:AB26))),"")</f>
        <v/>
      </c>
      <c r="AC27" t="str">
        <f>IF(COLUMNS($C$10:AC26)&lt;=$A27,INDEX(Table1[[PARTICULAR]:[PARTICULAR]],_xlfn.AGGREGATE(15,3,(Table1[[#This Row],[Details]:[Details]]=$B27)/(Table1[[#This Row],[Details]:[Details]]=$B27)*(ROW(Table1[[Details]:[Details]])-ROW(Table1[[#Headers],[Details]])),COLUMNS($C$10:AC26))),"")</f>
        <v/>
      </c>
      <c r="AD27" t="str">
        <f>IF(COLUMNS($C$10:AD26)&lt;=$A27,INDEX(Table1[[PARTICULAR]:[PARTICULAR]],_xlfn.AGGREGATE(15,3,(Table1[[#This Row],[Details]:[Details]]=$B27)/(Table1[[#This Row],[Details]:[Details]]=$B27)*(ROW(Table1[[Details]:[Details]])-ROW(Table1[[#Headers],[Details]])),COLUMNS($C$10:AD26))),"")</f>
        <v/>
      </c>
      <c r="AE27" t="str">
        <f>IF(COLUMNS($C$10:AE26)&lt;=$A27,INDEX(Table1[[PARTICULAR]:[PARTICULAR]],_xlfn.AGGREGATE(15,3,(Table1[[#This Row],[Details]:[Details]]=$B27)/(Table1[[#This Row],[Details]:[Details]]=$B27)*(ROW(Table1[[Details]:[Details]])-ROW(Table1[[#Headers],[Details]])),COLUMNS($C$10:AE26))),"")</f>
        <v/>
      </c>
      <c r="AF27" t="str">
        <f>IF(COLUMNS($C$10:AF26)&lt;=$A27,INDEX(Table1[[PARTICULAR]:[PARTICULAR]],_xlfn.AGGREGATE(15,3,(Table1[[#This Row],[Details]:[Details]]=$B27)/(Table1[[#This Row],[Details]:[Details]]=$B27)*(ROW(Table1[[Details]:[Details]])-ROW(Table1[[#Headers],[Details]])),COLUMNS($C$10:AF26))),"")</f>
        <v/>
      </c>
      <c r="AG27" t="str">
        <f>IF(COLUMNS($C$10:AG26)&lt;=$A27,INDEX(Table1[[PARTICULAR]:[PARTICULAR]],_xlfn.AGGREGATE(15,3,(Table1[[#This Row],[Details]:[Details]]=$B27)/(Table1[[#This Row],[Details]:[Details]]=$B27)*(ROW(Table1[[Details]:[Details]])-ROW(Table1[[#Headers],[Details]])),COLUMNS($C$10:AG26))),"")</f>
        <v/>
      </c>
      <c r="AH27" t="str">
        <f>IF(COLUMNS($C$10:AH26)&lt;=$A27,INDEX(Table1[[PARTICULAR]:[PARTICULAR]],_xlfn.AGGREGATE(15,3,(Table1[[#This Row],[Details]:[Details]]=$B27)/(Table1[[#This Row],[Details]:[Details]]=$B27)*(ROW(Table1[[Details]:[Details]])-ROW(Table1[[#Headers],[Details]])),COLUMNS($C$10:AH26))),"")</f>
        <v/>
      </c>
      <c r="AI27" t="str">
        <f>IF(COLUMNS($C$10:AI26)&lt;=$A27,INDEX(Table1[[PARTICULAR]:[PARTICULAR]],_xlfn.AGGREGATE(15,3,(Table1[[#This Row],[Details]:[Details]]=$B27)/(Table1[[#This Row],[Details]:[Details]]=$B27)*(ROW(Table1[[Details]:[Details]])-ROW(Table1[[#Headers],[Details]])),COLUMNS($C$10:AI26))),"")</f>
        <v/>
      </c>
      <c r="AJ27" t="str">
        <f>IF(COLUMNS($C$10:AJ26)&lt;=$A27,INDEX(Table1[[PARTICULAR]:[PARTICULAR]],_xlfn.AGGREGATE(15,3,(Table1[[#This Row],[Details]:[Details]]=$B27)/(Table1[[#This Row],[Details]:[Details]]=$B27)*(ROW(Table1[[Details]:[Details]])-ROW(Table1[[#Headers],[Details]])),COLUMNS($C$10:AJ26))),"")</f>
        <v/>
      </c>
      <c r="AK27" t="str">
        <f>IF(COLUMNS($C$10:AK26)&lt;=$A27,INDEX(Table1[[PARTICULAR]:[PARTICULAR]],_xlfn.AGGREGATE(15,3,(Table1[[#This Row],[Details]:[Details]]=$B27)/(Table1[[#This Row],[Details]:[Details]]=$B27)*(ROW(Table1[[Details]:[Details]])-ROW(Table1[[#Headers],[Details]])),COLUMNS($C$10:AK26))),"")</f>
        <v/>
      </c>
      <c r="AL27" t="str">
        <f>IF(COLUMNS($C$10:AL26)&lt;=$A27,INDEX(Table1[[PARTICULAR]:[PARTICULAR]],_xlfn.AGGREGATE(15,3,(Table1[[#This Row],[Details]:[Details]]=$B27)/(Table1[[#This Row],[Details]:[Details]]=$B27)*(ROW(Table1[[Details]:[Details]])-ROW(Table1[[#Headers],[Details]])),COLUMNS($C$10:AL26))),"")</f>
        <v/>
      </c>
      <c r="AM27" t="str">
        <f>IF(COLUMNS($C$10:AM26)&lt;=$A27,INDEX(Table1[[PARTICULAR]:[PARTICULAR]],_xlfn.AGGREGATE(15,3,(Table1[[#This Row],[Details]:[Details]]=$B27)/(Table1[[#This Row],[Details]:[Details]]=$B27)*(ROW(Table1[[Details]:[Details]])-ROW(Table1[[#Headers],[Details]])),COLUMNS($C$10:AM26))),"")</f>
        <v/>
      </c>
      <c r="AN27" t="str">
        <f>IF(COLUMNS($C$10:AN26)&lt;=$A27,INDEX(Table1[[PARTICULAR]:[PARTICULAR]],_xlfn.AGGREGATE(15,3,(Table1[[#This Row],[Details]:[Details]]=$B27)/(Table1[[#This Row],[Details]:[Details]]=$B27)*(ROW(Table1[[Details]:[Details]])-ROW(Table1[[#Headers],[Details]])),COLUMNS($C$10:AN26))),"")</f>
        <v/>
      </c>
      <c r="AO27" t="str">
        <f>IF(COLUMNS($C$10:AO26)&lt;=$A27,INDEX(Table1[[PARTICULAR]:[PARTICULAR]],_xlfn.AGGREGATE(15,3,(Table1[[#This Row],[Details]:[Details]]=$B27)/(Table1[[#This Row],[Details]:[Details]]=$B27)*(ROW(Table1[[Details]:[Details]])-ROW(Table1[[#Headers],[Details]])),COLUMNS($C$10:AO26))),"")</f>
        <v/>
      </c>
      <c r="AP27" t="str">
        <f>IF(COLUMNS($C$10:AP26)&lt;=$A27,INDEX(Table1[[PARTICULAR]:[PARTICULAR]],_xlfn.AGGREGATE(15,3,(Table1[[#This Row],[Details]:[Details]]=$B27)/(Table1[[#This Row],[Details]:[Details]]=$B27)*(ROW(Table1[[Details]:[Details]])-ROW(Table1[[#Headers],[Details]])),COLUMNS($C$10:AP26))),"")</f>
        <v/>
      </c>
      <c r="AQ27" t="str">
        <f>IF(COLUMNS($C$10:AQ26)&lt;=$A27,INDEX(Table1[[PARTICULAR]:[PARTICULAR]],_xlfn.AGGREGATE(15,3,(Table1[[#This Row],[Details]:[Details]]=$B27)/(Table1[[#This Row],[Details]:[Details]]=$B27)*(ROW(Table1[[Details]:[Details]])-ROW(Table1[[#Headers],[Details]])),COLUMNS($C$10:AQ26))),"")</f>
        <v/>
      </c>
      <c r="AR27" t="str">
        <f>IF(COLUMNS($C$10:AR26)&lt;=$A27,INDEX(Table1[[PARTICULAR]:[PARTICULAR]],_xlfn.AGGREGATE(15,3,(Table1[[#This Row],[Details]:[Details]]=$B27)/(Table1[[#This Row],[Details]:[Details]]=$B27)*(ROW(Table1[[Details]:[Details]])-ROW(Table1[[#Headers],[Details]])),COLUMNS($C$10:AR26))),"")</f>
        <v/>
      </c>
      <c r="AS27" t="str">
        <f>IF(COLUMNS($C$10:AS26)&lt;=$A27,INDEX(Table1[[PARTICULAR]:[PARTICULAR]],_xlfn.AGGREGATE(15,3,(Table1[[#This Row],[Details]:[Details]]=$B27)/(Table1[[#This Row],[Details]:[Details]]=$B27)*(ROW(Table1[[Details]:[Details]])-ROW(Table1[[#Headers],[Details]])),COLUMNS($C$10:AS26))),"")</f>
        <v/>
      </c>
      <c r="AT27" t="str">
        <f>IF(COLUMNS($C$10:AT26)&lt;=$A27,INDEX(Table1[[PARTICULAR]:[PARTICULAR]],_xlfn.AGGREGATE(15,3,(Table1[[#This Row],[Details]:[Details]]=$B27)/(Table1[[#This Row],[Details]:[Details]]=$B27)*(ROW(Table1[[Details]:[Details]])-ROW(Table1[[#Headers],[Details]])),COLUMNS($C$10:AT26))),"")</f>
        <v/>
      </c>
      <c r="AU27" t="str">
        <f>IF(COLUMNS($C$10:AU26)&lt;=$A27,INDEX(Table1[[PARTICULAR]:[PARTICULAR]],_xlfn.AGGREGATE(15,3,(Table1[[#This Row],[Details]:[Details]]=$B27)/(Table1[[#This Row],[Details]:[Details]]=$B27)*(ROW(Table1[[Details]:[Details]])-ROW(Table1[[#Headers],[Details]])),COLUMNS($C$10:AU26))),"")</f>
        <v/>
      </c>
      <c r="AV27" t="str">
        <f>IF(COLUMNS($C$10:AV26)&lt;=$A27,INDEX(Table1[[PARTICULAR]:[PARTICULAR]],_xlfn.AGGREGATE(15,3,(Table1[[#This Row],[Details]:[Details]]=$B27)/(Table1[[#This Row],[Details]:[Details]]=$B27)*(ROW(Table1[[Details]:[Details]])-ROW(Table1[[#Headers],[Details]])),COLUMNS($C$10:AV26))),"")</f>
        <v/>
      </c>
      <c r="AW27" t="str">
        <f>IF(COLUMNS($C$10:AW26)&lt;=$A27,INDEX(Table1[[PARTICULAR]:[PARTICULAR]],_xlfn.AGGREGATE(15,3,(Table1[[#This Row],[Details]:[Details]]=$B27)/(Table1[[#This Row],[Details]:[Details]]=$B27)*(ROW(Table1[[Details]:[Details]])-ROW(Table1[[#Headers],[Details]])),COLUMNS($C$10:AW26))),"")</f>
        <v/>
      </c>
      <c r="AX27" t="str">
        <f>IF(COLUMNS($C$10:AX26)&lt;=$A27,INDEX(Table1[[PARTICULAR]:[PARTICULAR]],_xlfn.AGGREGATE(15,3,(Table1[[#This Row],[Details]:[Details]]=$B27)/(Table1[[#This Row],[Details]:[Details]]=$B27)*(ROW(Table1[[Details]:[Details]])-ROW(Table1[[#Headers],[Details]])),COLUMNS($C$10:AX26))),"")</f>
        <v/>
      </c>
      <c r="AY27" t="str">
        <f>IF(COLUMNS($C$10:AY26)&lt;=$A27,INDEX(Table1[[PARTICULAR]:[PARTICULAR]],_xlfn.AGGREGATE(15,3,(Table1[[#This Row],[Details]:[Details]]=$B27)/(Table1[[#This Row],[Details]:[Details]]=$B27)*(ROW(Table1[[Details]:[Details]])-ROW(Table1[[#Headers],[Details]])),COLUMNS($C$10:AY26))),"")</f>
        <v/>
      </c>
      <c r="AZ27" t="str">
        <f>IF(COLUMNS($C$10:AZ26)&lt;=$A27,INDEX(Table1[[PARTICULAR]:[PARTICULAR]],_xlfn.AGGREGATE(15,3,(Table1[[#This Row],[Details]:[Details]]=$B27)/(Table1[[#This Row],[Details]:[Details]]=$B27)*(ROW(Table1[[Details]:[Details]])-ROW(Table1[[#Headers],[Details]])),COLUMNS($C$10:AZ26))),"")</f>
        <v/>
      </c>
      <c r="BA27" t="str">
        <f>IF(COLUMNS($C$10:BA26)&lt;=$A27,INDEX(Table1[[PARTICULAR]:[PARTICULAR]],_xlfn.AGGREGATE(15,3,(Table1[[#This Row],[Details]:[Details]]=$B27)/(Table1[[#This Row],[Details]:[Details]]=$B27)*(ROW(Table1[[Details]:[Details]])-ROW(Table1[[#Headers],[Details]])),COLUMNS($C$10:BA26))),"")</f>
        <v/>
      </c>
      <c r="BB27" t="str">
        <f>IF(COLUMNS($C$10:BB26)&lt;=$A27,INDEX(Table1[[PARTICULAR]:[PARTICULAR]],_xlfn.AGGREGATE(15,3,(Table1[[#This Row],[Details]:[Details]]=$B27)/(Table1[[#This Row],[Details]:[Details]]=$B27)*(ROW(Table1[[Details]:[Details]])-ROW(Table1[[#Headers],[Details]])),COLUMNS($C$10:BB26))),"")</f>
        <v/>
      </c>
      <c r="BC27" t="str">
        <f>IF(COLUMNS($C$10:BC26)&lt;=$A27,INDEX(Table1[[PARTICULAR]:[PARTICULAR]],_xlfn.AGGREGATE(15,3,(Table1[[#This Row],[Details]:[Details]]=$B27)/(Table1[[#This Row],[Details]:[Details]]=$B27)*(ROW(Table1[[Details]:[Details]])-ROW(Table1[[#Headers],[Details]])),COLUMNS($C$10:BC26))),"")</f>
        <v/>
      </c>
      <c r="BD27" t="str">
        <f>IF(COLUMNS($C$10:BD26)&lt;=$A27,INDEX(Table1[[PARTICULAR]:[PARTICULAR]],_xlfn.AGGREGATE(15,3,(Table1[[#This Row],[Details]:[Details]]=$B27)/(Table1[[#This Row],[Details]:[Details]]=$B27)*(ROW(Table1[[Details]:[Details]])-ROW(Table1[[#Headers],[Details]])),COLUMNS($C$10:BD26))),"")</f>
        <v/>
      </c>
      <c r="BE27" t="str">
        <f>IF(COLUMNS($C$10:BE26)&lt;=$A27,INDEX(Table1[[PARTICULAR]:[PARTICULAR]],_xlfn.AGGREGATE(15,3,(Table1[[#This Row],[Details]:[Details]]=$B27)/(Table1[[#This Row],[Details]:[Details]]=$B27)*(ROW(Table1[[Details]:[Details]])-ROW(Table1[[#Headers],[Details]])),COLUMNS($C$10:BE26))),"")</f>
        <v/>
      </c>
      <c r="BF27" t="str">
        <f>IF(COLUMNS($C$10:BF26)&lt;=$A27,INDEX(Table1[[PARTICULAR]:[PARTICULAR]],_xlfn.AGGREGATE(15,3,(Table1[[#This Row],[Details]:[Details]]=$B27)/(Table1[[#This Row],[Details]:[Details]]=$B27)*(ROW(Table1[[Details]:[Details]])-ROW(Table1[[#Headers],[Details]])),COLUMNS($C$10:BF26))),"")</f>
        <v/>
      </c>
      <c r="BG27" t="str">
        <f>IF(COLUMNS($C$10:BG26)&lt;=$A27,INDEX(Table1[[PARTICULAR]:[PARTICULAR]],_xlfn.AGGREGATE(15,3,(Table1[[#This Row],[Details]:[Details]]=$B27)/(Table1[[#This Row],[Details]:[Details]]=$B27)*(ROW(Table1[[Details]:[Details]])-ROW(Table1[[#Headers],[Details]])),COLUMNS($C$10:BG26))),"")</f>
        <v/>
      </c>
      <c r="BH27" t="str">
        <f>IF(COLUMNS($C$10:BH26)&lt;=$A27,INDEX(Table1[[PARTICULAR]:[PARTICULAR]],_xlfn.AGGREGATE(15,3,(Table1[[#This Row],[Details]:[Details]]=$B27)/(Table1[[#This Row],[Details]:[Details]]=$B27)*(ROW(Table1[[Details]:[Details]])-ROW(Table1[[#Headers],[Details]])),COLUMNS($C$10:BH26))),"")</f>
        <v/>
      </c>
      <c r="BI27" t="str">
        <f>IF(COLUMNS($C$10:BI26)&lt;=$A27,INDEX(Table1[[PARTICULAR]:[PARTICULAR]],_xlfn.AGGREGATE(15,3,(Table1[[#This Row],[Details]:[Details]]=$B27)/(Table1[[#This Row],[Details]:[Details]]=$B27)*(ROW(Table1[[Details]:[Details]])-ROW(Table1[[#Headers],[Details]])),COLUMNS($C$10:BI26))),"")</f>
        <v/>
      </c>
      <c r="BJ27" t="str">
        <f>IF(COLUMNS($C$10:BJ26)&lt;=$A27,INDEX(Table1[[PARTICULAR]:[PARTICULAR]],_xlfn.AGGREGATE(15,3,(Table1[[#This Row],[Details]:[Details]]=$B27)/(Table1[[#This Row],[Details]:[Details]]=$B27)*(ROW(Table1[[Details]:[Details]])-ROW(Table1[[#Headers],[Details]])),COLUMNS($C$10:BJ26))),"")</f>
        <v/>
      </c>
      <c r="BK27" t="str">
        <f>IF(COLUMNS($C$10:BK26)&lt;=$A27,INDEX(Table1[[PARTICULAR]:[PARTICULAR]],_xlfn.AGGREGATE(15,3,(Table1[[#This Row],[Details]:[Details]]=$B27)/(Table1[[#This Row],[Details]:[Details]]=$B27)*(ROW(Table1[[Details]:[Details]])-ROW(Table1[[#Headers],[Details]])),COLUMNS($C$10:BK26))),"")</f>
        <v/>
      </c>
      <c r="BL27" t="str">
        <f>IF(COLUMNS($C$10:BL26)&lt;=$A27,INDEX(Table1[[PARTICULAR]:[PARTICULAR]],_xlfn.AGGREGATE(15,3,(Table1[[#This Row],[Details]:[Details]]=$B27)/(Table1[[#This Row],[Details]:[Details]]=$B27)*(ROW(Table1[[Details]:[Details]])-ROW(Table1[[#Headers],[Details]])),COLUMNS($C$10:BL26))),"")</f>
        <v/>
      </c>
      <c r="BM27" t="str">
        <f>IF(COLUMNS($C$10:BM26)&lt;=$A27,INDEX(Table1[[PARTICULAR]:[PARTICULAR]],_xlfn.AGGREGATE(15,3,(Table1[[#This Row],[Details]:[Details]]=$B27)/(Table1[[#This Row],[Details]:[Details]]=$B27)*(ROW(Table1[[Details]:[Details]])-ROW(Table1[[#Headers],[Details]])),COLUMNS($C$10:BM26))),"")</f>
        <v/>
      </c>
      <c r="BN27" t="str">
        <f>IF(COLUMNS($C$10:BN26)&lt;=$A27,INDEX(Table1[[PARTICULAR]:[PARTICULAR]],_xlfn.AGGREGATE(15,3,(Table1[[#This Row],[Details]:[Details]]=$B27)/(Table1[[#This Row],[Details]:[Details]]=$B27)*(ROW(Table1[[Details]:[Details]])-ROW(Table1[[#Headers],[Details]])),COLUMNS($C$10:BN26))),"")</f>
        <v/>
      </c>
      <c r="BO27" t="str">
        <f>IF(COLUMNS($C$10:BO26)&lt;=$A27,INDEX(Table1[[PARTICULAR]:[PARTICULAR]],_xlfn.AGGREGATE(15,3,(Table1[[#This Row],[Details]:[Details]]=$B27)/(Table1[[#This Row],[Details]:[Details]]=$B27)*(ROW(Table1[[Details]:[Details]])-ROW(Table1[[#Headers],[Details]])),COLUMNS($C$10:BO26))),"")</f>
        <v/>
      </c>
      <c r="BP27" t="str">
        <f>IF(COLUMNS($C$10:BP26)&lt;=$A27,INDEX(Table1[[PARTICULAR]:[PARTICULAR]],_xlfn.AGGREGATE(15,3,(Table1[[#This Row],[Details]:[Details]]=$B27)/(Table1[[#This Row],[Details]:[Details]]=$B27)*(ROW(Table1[[Details]:[Details]])-ROW(Table1[[#Headers],[Details]])),COLUMNS($C$10:BP26))),"")</f>
        <v/>
      </c>
      <c r="BQ27" t="str">
        <f>IF(COLUMNS($C$10:BQ26)&lt;=$A27,INDEX(Table1[[PARTICULAR]:[PARTICULAR]],_xlfn.AGGREGATE(15,3,(Table1[[#This Row],[Details]:[Details]]=$B27)/(Table1[[#This Row],[Details]:[Details]]=$B27)*(ROW(Table1[[Details]:[Details]])-ROW(Table1[[#Headers],[Details]])),COLUMNS($C$10:BQ26))),"")</f>
        <v/>
      </c>
      <c r="BR27" t="str">
        <f>IF(COLUMNS($C$10:BR26)&lt;=$A27,INDEX(Table1[[PARTICULAR]:[PARTICULAR]],_xlfn.AGGREGATE(15,3,(Table1[[#This Row],[Details]:[Details]]=$B27)/(Table1[[#This Row],[Details]:[Details]]=$B27)*(ROW(Table1[[Details]:[Details]])-ROW(Table1[[#Headers],[Details]])),COLUMNS($C$10:BR26))),"")</f>
        <v/>
      </c>
      <c r="BS27" t="str">
        <f>IF(COLUMNS($C$10:BS26)&lt;=$A27,INDEX(Table1[[PARTICULAR]:[PARTICULAR]],_xlfn.AGGREGATE(15,3,(Table1[[#This Row],[Details]:[Details]]=$B27)/(Table1[[#This Row],[Details]:[Details]]=$B27)*(ROW(Table1[[Details]:[Details]])-ROW(Table1[[#Headers],[Details]])),COLUMNS($C$10:BS26))),"")</f>
        <v/>
      </c>
      <c r="BT27" t="str">
        <f>IF(COLUMNS($C$10:BT26)&lt;=$A27,INDEX(Table1[[PARTICULAR]:[PARTICULAR]],_xlfn.AGGREGATE(15,3,(Table1[[#This Row],[Details]:[Details]]=$B27)/(Table1[[#This Row],[Details]:[Details]]=$B27)*(ROW(Table1[[Details]:[Details]])-ROW(Table1[[#Headers],[Details]])),COLUMNS($C$10:BT26))),"")</f>
        <v/>
      </c>
      <c r="BU27" t="str">
        <f>IF(COLUMNS($C$10:BU26)&lt;=$A27,INDEX(Table1[[PARTICULAR]:[PARTICULAR]],_xlfn.AGGREGATE(15,3,(Table1[[#This Row],[Details]:[Details]]=$B27)/(Table1[[#This Row],[Details]:[Details]]=$B27)*(ROW(Table1[[Details]:[Details]])-ROW(Table1[[#Headers],[Details]])),COLUMNS($C$10:BU26))),"")</f>
        <v/>
      </c>
      <c r="BV27" t="str">
        <f>IF(COLUMNS($C$10:BV26)&lt;=$A27,INDEX(Table1[[PARTICULAR]:[PARTICULAR]],_xlfn.AGGREGATE(15,3,(Table1[[#This Row],[Details]:[Details]]=$B27)/(Table1[[#This Row],[Details]:[Details]]=$B27)*(ROW(Table1[[Details]:[Details]])-ROW(Table1[[#Headers],[Details]])),COLUMNS($C$10:BV26))),"")</f>
        <v/>
      </c>
      <c r="BW27" t="str">
        <f>IF(COLUMNS($C$10:BW26)&lt;=$A27,INDEX(Table1[[PARTICULAR]:[PARTICULAR]],_xlfn.AGGREGATE(15,3,(Table1[[#This Row],[Details]:[Details]]=$B27)/(Table1[[#This Row],[Details]:[Details]]=$B27)*(ROW(Table1[[Details]:[Details]])-ROW(Table1[[#Headers],[Details]])),COLUMNS($C$10:BW26))),"")</f>
        <v/>
      </c>
      <c r="BX27" t="str">
        <f>IF(COLUMNS($C$10:BX26)&lt;=$A27,INDEX(Table1[[PARTICULAR]:[PARTICULAR]],_xlfn.AGGREGATE(15,3,(Table1[[#This Row],[Details]:[Details]]=$B27)/(Table1[[#This Row],[Details]:[Details]]=$B27)*(ROW(Table1[[Details]:[Details]])-ROW(Table1[[#Headers],[Details]])),COLUMNS($C$10:BX26))),"")</f>
        <v/>
      </c>
      <c r="BY27" t="str">
        <f>IF(COLUMNS($C$10:BY26)&lt;=$A27,INDEX(Table1[[PARTICULAR]:[PARTICULAR]],_xlfn.AGGREGATE(15,3,(Table1[[#This Row],[Details]:[Details]]=$B27)/(Table1[[#This Row],[Details]:[Details]]=$B27)*(ROW(Table1[[Details]:[Details]])-ROW(Table1[[#Headers],[Details]])),COLUMNS($C$10:BY26))),"")</f>
        <v/>
      </c>
      <c r="BZ27" t="str">
        <f>IF(COLUMNS($C$10:BZ26)&lt;=$A27,INDEX(Table1[[PARTICULAR]:[PARTICULAR]],_xlfn.AGGREGATE(15,3,(Table1[[#This Row],[Details]:[Details]]=$B27)/(Table1[[#This Row],[Details]:[Details]]=$B27)*(ROW(Table1[[Details]:[Details]])-ROW(Table1[[#Headers],[Details]])),COLUMNS($C$10:BZ26))),"")</f>
        <v/>
      </c>
      <c r="CA27" t="str">
        <f>IF(COLUMNS($C$10:CA26)&lt;=$A27,INDEX(Table1[[PARTICULAR]:[PARTICULAR]],_xlfn.AGGREGATE(15,3,(Table1[[#This Row],[Details]:[Details]]=$B27)/(Table1[[#This Row],[Details]:[Details]]=$B27)*(ROW(Table1[[Details]:[Details]])-ROW(Table1[[#Headers],[Details]])),COLUMNS($C$10:CA26))),"")</f>
        <v/>
      </c>
      <c r="CB27" t="str">
        <f>IF(COLUMNS($C$10:CB26)&lt;=$A27,INDEX(Table1[[PARTICULAR]:[PARTICULAR]],_xlfn.AGGREGATE(15,3,(Table1[[#This Row],[Details]:[Details]]=$B27)/(Table1[[#This Row],[Details]:[Details]]=$B27)*(ROW(Table1[[Details]:[Details]])-ROW(Table1[[#Headers],[Details]])),COLUMNS($C$10:CB26))),"")</f>
        <v/>
      </c>
    </row>
    <row r="28" spans="1:80">
      <c r="A28">
        <f>COUNTIF(Table1[Details],B28)</f>
        <v>2</v>
      </c>
      <c r="B28" s="97" t="str">
        <f>IFERROR(INDEX(Table1[Details],MATCH(0,INDEX(COUNTIF($B$10:B27,Table1[Details]),),0)),"")</f>
        <v>Award</v>
      </c>
      <c r="C28" t="str">
        <f>IF(COLUMNS($C$10:C27)&lt;=$A28,INDEX(Table1[[PARTICULAR]:[PARTICULAR]],_xlfn.AGGREGATE(15,3,(Table1[[#This Row],[Details]:[Details]]=$B28)/(Table1[[#This Row],[Details]:[Details]]=$B28)*(ROW(Table1[[Details]:[Details]])-ROW(Table1[[#Headers],[Details]])),COLUMNS($C$10:C27))),"")</f>
        <v>Award Nomination</v>
      </c>
      <c r="D28" t="str">
        <f>IF(COLUMNS($C$10:D27)&lt;=$A28,INDEX(Table1[[PARTICULAR]:[PARTICULAR]],_xlfn.AGGREGATE(15,3,(Table1[[#This Row],[Details]:[Details]]=$B28)/(Table1[[#This Row],[Details]:[Details]]=$B28)*(ROW(Table1[[Details]:[Details]])-ROW(Table1[[#Headers],[Details]])),COLUMNS($C$10:D27))),"")</f>
        <v>VMRD Magazine </v>
      </c>
      <c r="E28" t="str">
        <f>IF(COLUMNS($C$10:E27)&lt;=$A28,INDEX(Table1[[PARTICULAR]:[PARTICULAR]],_xlfn.AGGREGATE(15,3,(Table1[[#This Row],[Details]:[Details]]=$B28)/(Table1[[#This Row],[Details]:[Details]]=$B28)*(ROW(Table1[[Details]:[Details]])-ROW(Table1[[#Headers],[Details]])),COLUMNS($C$10:E27))),"")</f>
        <v/>
      </c>
      <c r="F28" t="str">
        <f>IF(COLUMNS($C$10:F27)&lt;=$A28,INDEX(Table1[[PARTICULAR]:[PARTICULAR]],_xlfn.AGGREGATE(15,3,(Table1[[#This Row],[Details]:[Details]]=$B28)/(Table1[[#This Row],[Details]:[Details]]=$B28)*(ROW(Table1[[Details]:[Details]])-ROW(Table1[[#Headers],[Details]])),COLUMNS($C$10:F27))),"")</f>
        <v/>
      </c>
      <c r="G28" t="str">
        <f>IF(COLUMNS($C$10:G27)&lt;=$A28,INDEX(Table1[[PARTICULAR]:[PARTICULAR]],_xlfn.AGGREGATE(15,3,(Table1[[#This Row],[Details]:[Details]]=$B28)/(Table1[[#This Row],[Details]:[Details]]=$B28)*(ROW(Table1[[Details]:[Details]])-ROW(Table1[[#Headers],[Details]])),COLUMNS($C$10:G27))),"")</f>
        <v/>
      </c>
      <c r="H28" t="str">
        <f>IF(COLUMNS($C$10:H27)&lt;=$A28,INDEX(Table1[[PARTICULAR]:[PARTICULAR]],_xlfn.AGGREGATE(15,3,(Table1[[#This Row],[Details]:[Details]]=$B28)/(Table1[[#This Row],[Details]:[Details]]=$B28)*(ROW(Table1[[Details]:[Details]])-ROW(Table1[[#Headers],[Details]])),COLUMNS($C$10:H27))),"")</f>
        <v/>
      </c>
      <c r="I28" t="str">
        <f>IF(COLUMNS($C$10:I27)&lt;=$A28,INDEX(Table1[[PARTICULAR]:[PARTICULAR]],_xlfn.AGGREGATE(15,3,(Table1[[#This Row],[Details]:[Details]]=$B28)/(Table1[[#This Row],[Details]:[Details]]=$B28)*(ROW(Table1[[Details]:[Details]])-ROW(Table1[[#Headers],[Details]])),COLUMNS($C$10:I27))),"")</f>
        <v/>
      </c>
      <c r="J28" t="str">
        <f>IF(COLUMNS($C$10:J27)&lt;=$A28,INDEX(Table1[[PARTICULAR]:[PARTICULAR]],_xlfn.AGGREGATE(15,3,(Table1[[#This Row],[Details]:[Details]]=$B28)/(Table1[[#This Row],[Details]:[Details]]=$B28)*(ROW(Table1[[Details]:[Details]])-ROW(Table1[[#Headers],[Details]])),COLUMNS($C$10:J27))),"")</f>
        <v/>
      </c>
      <c r="K28" t="str">
        <f>IF(COLUMNS($C$10:K27)&lt;=$A28,INDEX(Table1[[PARTICULAR]:[PARTICULAR]],_xlfn.AGGREGATE(15,3,(Table1[[#This Row],[Details]:[Details]]=$B28)/(Table1[[#This Row],[Details]:[Details]]=$B28)*(ROW(Table1[[Details]:[Details]])-ROW(Table1[[#Headers],[Details]])),COLUMNS($C$10:K27))),"")</f>
        <v/>
      </c>
      <c r="L28" t="str">
        <f>IF(COLUMNS($C$10:L27)&lt;=$A28,INDEX(Table1[[PARTICULAR]:[PARTICULAR]],_xlfn.AGGREGATE(15,3,(Table1[[#This Row],[Details]:[Details]]=$B28)/(Table1[[#This Row],[Details]:[Details]]=$B28)*(ROW(Table1[[Details]:[Details]])-ROW(Table1[[#Headers],[Details]])),COLUMNS($C$10:L27))),"")</f>
        <v/>
      </c>
      <c r="M28" t="str">
        <f>IF(COLUMNS($C$10:M27)&lt;=$A28,INDEX(Table1[[PARTICULAR]:[PARTICULAR]],_xlfn.AGGREGATE(15,3,(Table1[[#This Row],[Details]:[Details]]=$B28)/(Table1[[#This Row],[Details]:[Details]]=$B28)*(ROW(Table1[[Details]:[Details]])-ROW(Table1[[#Headers],[Details]])),COLUMNS($C$10:M27))),"")</f>
        <v/>
      </c>
      <c r="N28" t="str">
        <f>IF(COLUMNS($C$10:N27)&lt;=$A28,INDEX(Table1[[PARTICULAR]:[PARTICULAR]],_xlfn.AGGREGATE(15,3,(Table1[[#This Row],[Details]:[Details]]=$B28)/(Table1[[#This Row],[Details]:[Details]]=$B28)*(ROW(Table1[[Details]:[Details]])-ROW(Table1[[#Headers],[Details]])),COLUMNS($C$10:N27))),"")</f>
        <v/>
      </c>
      <c r="O28" t="str">
        <f>IF(COLUMNS($C$10:O27)&lt;=$A28,INDEX(Table1[[PARTICULAR]:[PARTICULAR]],_xlfn.AGGREGATE(15,3,(Table1[[#This Row],[Details]:[Details]]=$B28)/(Table1[[#This Row],[Details]:[Details]]=$B28)*(ROW(Table1[[Details]:[Details]])-ROW(Table1[[#Headers],[Details]])),COLUMNS($C$10:O27))),"")</f>
        <v/>
      </c>
      <c r="P28" t="str">
        <f>IF(COLUMNS($C$10:P27)&lt;=$A28,INDEX(Table1[[PARTICULAR]:[PARTICULAR]],_xlfn.AGGREGATE(15,3,(Table1[[#This Row],[Details]:[Details]]=$B28)/(Table1[[#This Row],[Details]:[Details]]=$B28)*(ROW(Table1[[Details]:[Details]])-ROW(Table1[[#Headers],[Details]])),COLUMNS($C$10:P27))),"")</f>
        <v/>
      </c>
      <c r="Q28" t="str">
        <f>IF(COLUMNS($C$10:Q27)&lt;=$A28,INDEX(Table1[[PARTICULAR]:[PARTICULAR]],_xlfn.AGGREGATE(15,3,(Table1[[#This Row],[Details]:[Details]]=$B28)/(Table1[[#This Row],[Details]:[Details]]=$B28)*(ROW(Table1[[Details]:[Details]])-ROW(Table1[[#Headers],[Details]])),COLUMNS($C$10:Q27))),"")</f>
        <v/>
      </c>
      <c r="R28" t="str">
        <f>IF(COLUMNS($C$10:R27)&lt;=$A28,INDEX(Table1[[PARTICULAR]:[PARTICULAR]],_xlfn.AGGREGATE(15,3,(Table1[[#This Row],[Details]:[Details]]=$B28)/(Table1[[#This Row],[Details]:[Details]]=$B28)*(ROW(Table1[[Details]:[Details]])-ROW(Table1[[#Headers],[Details]])),COLUMNS($C$10:R27))),"")</f>
        <v/>
      </c>
      <c r="S28" t="str">
        <f>IF(COLUMNS($C$10:S27)&lt;=$A28,INDEX(Table1[[PARTICULAR]:[PARTICULAR]],_xlfn.AGGREGATE(15,3,(Table1[[#This Row],[Details]:[Details]]=$B28)/(Table1[[#This Row],[Details]:[Details]]=$B28)*(ROW(Table1[[Details]:[Details]])-ROW(Table1[[#Headers],[Details]])),COLUMNS($C$10:S27))),"")</f>
        <v/>
      </c>
      <c r="T28" t="str">
        <f>IF(COLUMNS($C$10:T27)&lt;=$A28,INDEX(Table1[[PARTICULAR]:[PARTICULAR]],_xlfn.AGGREGATE(15,3,(Table1[[#This Row],[Details]:[Details]]=$B28)/(Table1[[#This Row],[Details]:[Details]]=$B28)*(ROW(Table1[[Details]:[Details]])-ROW(Table1[[#Headers],[Details]])),COLUMNS($C$10:T27))),"")</f>
        <v/>
      </c>
      <c r="U28" t="str">
        <f>IF(COLUMNS($C$10:U27)&lt;=$A28,INDEX(Table1[[PARTICULAR]:[PARTICULAR]],_xlfn.AGGREGATE(15,3,(Table1[[#This Row],[Details]:[Details]]=$B28)/(Table1[[#This Row],[Details]:[Details]]=$B28)*(ROW(Table1[[Details]:[Details]])-ROW(Table1[[#Headers],[Details]])),COLUMNS($C$10:U27))),"")</f>
        <v/>
      </c>
      <c r="V28" t="str">
        <f>IF(COLUMNS($C$10:V27)&lt;=$A28,INDEX(Table1[[PARTICULAR]:[PARTICULAR]],_xlfn.AGGREGATE(15,3,(Table1[[#This Row],[Details]:[Details]]=$B28)/(Table1[[#This Row],[Details]:[Details]]=$B28)*(ROW(Table1[[Details]:[Details]])-ROW(Table1[[#Headers],[Details]])),COLUMNS($C$10:V27))),"")</f>
        <v/>
      </c>
      <c r="W28" t="str">
        <f>IF(COLUMNS($C$10:W27)&lt;=$A28,INDEX(Table1[[PARTICULAR]:[PARTICULAR]],_xlfn.AGGREGATE(15,3,(Table1[[#This Row],[Details]:[Details]]=$B28)/(Table1[[#This Row],[Details]:[Details]]=$B28)*(ROW(Table1[[Details]:[Details]])-ROW(Table1[[#Headers],[Details]])),COLUMNS($C$10:W27))),"")</f>
        <v/>
      </c>
      <c r="X28" t="str">
        <f>IF(COLUMNS($C$10:X27)&lt;=$A28,INDEX(Table1[[PARTICULAR]:[PARTICULAR]],_xlfn.AGGREGATE(15,3,(Table1[[#This Row],[Details]:[Details]]=$B28)/(Table1[[#This Row],[Details]:[Details]]=$B28)*(ROW(Table1[[Details]:[Details]])-ROW(Table1[[#Headers],[Details]])),COLUMNS($C$10:X27))),"")</f>
        <v/>
      </c>
      <c r="Y28" t="str">
        <f>IF(COLUMNS($C$10:Y27)&lt;=$A28,INDEX(Table1[[PARTICULAR]:[PARTICULAR]],_xlfn.AGGREGATE(15,3,(Table1[[#This Row],[Details]:[Details]]=$B28)/(Table1[[#This Row],[Details]:[Details]]=$B28)*(ROW(Table1[[Details]:[Details]])-ROW(Table1[[#Headers],[Details]])),COLUMNS($C$10:Y27))),"")</f>
        <v/>
      </c>
      <c r="Z28" t="str">
        <f>IF(COLUMNS($C$10:Z27)&lt;=$A28,INDEX(Table1[[PARTICULAR]:[PARTICULAR]],_xlfn.AGGREGATE(15,3,(Table1[[#This Row],[Details]:[Details]]=$B28)/(Table1[[#This Row],[Details]:[Details]]=$B28)*(ROW(Table1[[Details]:[Details]])-ROW(Table1[[#Headers],[Details]])),COLUMNS($C$10:Z27))),"")</f>
        <v/>
      </c>
      <c r="AA28" t="str">
        <f>IF(COLUMNS($C$10:AA27)&lt;=$A28,INDEX(Table1[[PARTICULAR]:[PARTICULAR]],_xlfn.AGGREGATE(15,3,(Table1[[#This Row],[Details]:[Details]]=$B28)/(Table1[[#This Row],[Details]:[Details]]=$B28)*(ROW(Table1[[Details]:[Details]])-ROW(Table1[[#Headers],[Details]])),COLUMNS($C$10:AA27))),"")</f>
        <v/>
      </c>
      <c r="AB28" t="str">
        <f>IF(COLUMNS($C$10:AB27)&lt;=$A28,INDEX(Table1[[PARTICULAR]:[PARTICULAR]],_xlfn.AGGREGATE(15,3,(Table1[[#This Row],[Details]:[Details]]=$B28)/(Table1[[#This Row],[Details]:[Details]]=$B28)*(ROW(Table1[[Details]:[Details]])-ROW(Table1[[#Headers],[Details]])),COLUMNS($C$10:AB27))),"")</f>
        <v/>
      </c>
      <c r="AC28" t="str">
        <f>IF(COLUMNS($C$10:AC27)&lt;=$A28,INDEX(Table1[[PARTICULAR]:[PARTICULAR]],_xlfn.AGGREGATE(15,3,(Table1[[#This Row],[Details]:[Details]]=$B28)/(Table1[[#This Row],[Details]:[Details]]=$B28)*(ROW(Table1[[Details]:[Details]])-ROW(Table1[[#Headers],[Details]])),COLUMNS($C$10:AC27))),"")</f>
        <v/>
      </c>
      <c r="AD28" t="str">
        <f>IF(COLUMNS($C$10:AD27)&lt;=$A28,INDEX(Table1[[PARTICULAR]:[PARTICULAR]],_xlfn.AGGREGATE(15,3,(Table1[[#This Row],[Details]:[Details]]=$B28)/(Table1[[#This Row],[Details]:[Details]]=$B28)*(ROW(Table1[[Details]:[Details]])-ROW(Table1[[#Headers],[Details]])),COLUMNS($C$10:AD27))),"")</f>
        <v/>
      </c>
      <c r="AE28" t="str">
        <f>IF(COLUMNS($C$10:AE27)&lt;=$A28,INDEX(Table1[[PARTICULAR]:[PARTICULAR]],_xlfn.AGGREGATE(15,3,(Table1[[#This Row],[Details]:[Details]]=$B28)/(Table1[[#This Row],[Details]:[Details]]=$B28)*(ROW(Table1[[Details]:[Details]])-ROW(Table1[[#Headers],[Details]])),COLUMNS($C$10:AE27))),"")</f>
        <v/>
      </c>
      <c r="AF28" t="str">
        <f>IF(COLUMNS($C$10:AF27)&lt;=$A28,INDEX(Table1[[PARTICULAR]:[PARTICULAR]],_xlfn.AGGREGATE(15,3,(Table1[[#This Row],[Details]:[Details]]=$B28)/(Table1[[#This Row],[Details]:[Details]]=$B28)*(ROW(Table1[[Details]:[Details]])-ROW(Table1[[#Headers],[Details]])),COLUMNS($C$10:AF27))),"")</f>
        <v/>
      </c>
      <c r="AG28" t="str">
        <f>IF(COLUMNS($C$10:AG27)&lt;=$A28,INDEX(Table1[[PARTICULAR]:[PARTICULAR]],_xlfn.AGGREGATE(15,3,(Table1[[#This Row],[Details]:[Details]]=$B28)/(Table1[[#This Row],[Details]:[Details]]=$B28)*(ROW(Table1[[Details]:[Details]])-ROW(Table1[[#Headers],[Details]])),COLUMNS($C$10:AG27))),"")</f>
        <v/>
      </c>
      <c r="AH28" t="str">
        <f>IF(COLUMNS($C$10:AH27)&lt;=$A28,INDEX(Table1[[PARTICULAR]:[PARTICULAR]],_xlfn.AGGREGATE(15,3,(Table1[[#This Row],[Details]:[Details]]=$B28)/(Table1[[#This Row],[Details]:[Details]]=$B28)*(ROW(Table1[[Details]:[Details]])-ROW(Table1[[#Headers],[Details]])),COLUMNS($C$10:AH27))),"")</f>
        <v/>
      </c>
      <c r="AI28" t="str">
        <f>IF(COLUMNS($C$10:AI27)&lt;=$A28,INDEX(Table1[[PARTICULAR]:[PARTICULAR]],_xlfn.AGGREGATE(15,3,(Table1[[#This Row],[Details]:[Details]]=$B28)/(Table1[[#This Row],[Details]:[Details]]=$B28)*(ROW(Table1[[Details]:[Details]])-ROW(Table1[[#Headers],[Details]])),COLUMNS($C$10:AI27))),"")</f>
        <v/>
      </c>
      <c r="AJ28" t="str">
        <f>IF(COLUMNS($C$10:AJ27)&lt;=$A28,INDEX(Table1[[PARTICULAR]:[PARTICULAR]],_xlfn.AGGREGATE(15,3,(Table1[[#This Row],[Details]:[Details]]=$B28)/(Table1[[#This Row],[Details]:[Details]]=$B28)*(ROW(Table1[[Details]:[Details]])-ROW(Table1[[#Headers],[Details]])),COLUMNS($C$10:AJ27))),"")</f>
        <v/>
      </c>
      <c r="AK28" t="str">
        <f>IF(COLUMNS($C$10:AK27)&lt;=$A28,INDEX(Table1[[PARTICULAR]:[PARTICULAR]],_xlfn.AGGREGATE(15,3,(Table1[[#This Row],[Details]:[Details]]=$B28)/(Table1[[#This Row],[Details]:[Details]]=$B28)*(ROW(Table1[[Details]:[Details]])-ROW(Table1[[#Headers],[Details]])),COLUMNS($C$10:AK27))),"")</f>
        <v/>
      </c>
      <c r="AL28" t="str">
        <f>IF(COLUMNS($C$10:AL27)&lt;=$A28,INDEX(Table1[[PARTICULAR]:[PARTICULAR]],_xlfn.AGGREGATE(15,3,(Table1[[#This Row],[Details]:[Details]]=$B28)/(Table1[[#This Row],[Details]:[Details]]=$B28)*(ROW(Table1[[Details]:[Details]])-ROW(Table1[[#Headers],[Details]])),COLUMNS($C$10:AL27))),"")</f>
        <v/>
      </c>
      <c r="AM28" t="str">
        <f>IF(COLUMNS($C$10:AM27)&lt;=$A28,INDEX(Table1[[PARTICULAR]:[PARTICULAR]],_xlfn.AGGREGATE(15,3,(Table1[[#This Row],[Details]:[Details]]=$B28)/(Table1[[#This Row],[Details]:[Details]]=$B28)*(ROW(Table1[[Details]:[Details]])-ROW(Table1[[#Headers],[Details]])),COLUMNS($C$10:AM27))),"")</f>
        <v/>
      </c>
      <c r="AN28" t="str">
        <f>IF(COLUMNS($C$10:AN27)&lt;=$A28,INDEX(Table1[[PARTICULAR]:[PARTICULAR]],_xlfn.AGGREGATE(15,3,(Table1[[#This Row],[Details]:[Details]]=$B28)/(Table1[[#This Row],[Details]:[Details]]=$B28)*(ROW(Table1[[Details]:[Details]])-ROW(Table1[[#Headers],[Details]])),COLUMNS($C$10:AN27))),"")</f>
        <v/>
      </c>
      <c r="AO28" t="str">
        <f>IF(COLUMNS($C$10:AO27)&lt;=$A28,INDEX(Table1[[PARTICULAR]:[PARTICULAR]],_xlfn.AGGREGATE(15,3,(Table1[[#This Row],[Details]:[Details]]=$B28)/(Table1[[#This Row],[Details]:[Details]]=$B28)*(ROW(Table1[[Details]:[Details]])-ROW(Table1[[#Headers],[Details]])),COLUMNS($C$10:AO27))),"")</f>
        <v/>
      </c>
      <c r="AP28" t="str">
        <f>IF(COLUMNS($C$10:AP27)&lt;=$A28,INDEX(Table1[[PARTICULAR]:[PARTICULAR]],_xlfn.AGGREGATE(15,3,(Table1[[#This Row],[Details]:[Details]]=$B28)/(Table1[[#This Row],[Details]:[Details]]=$B28)*(ROW(Table1[[Details]:[Details]])-ROW(Table1[[#Headers],[Details]])),COLUMNS($C$10:AP27))),"")</f>
        <v/>
      </c>
      <c r="AQ28" t="str">
        <f>IF(COLUMNS($C$10:AQ27)&lt;=$A28,INDEX(Table1[[PARTICULAR]:[PARTICULAR]],_xlfn.AGGREGATE(15,3,(Table1[[#This Row],[Details]:[Details]]=$B28)/(Table1[[#This Row],[Details]:[Details]]=$B28)*(ROW(Table1[[Details]:[Details]])-ROW(Table1[[#Headers],[Details]])),COLUMNS($C$10:AQ27))),"")</f>
        <v/>
      </c>
      <c r="AR28" t="str">
        <f>IF(COLUMNS($C$10:AR27)&lt;=$A28,INDEX(Table1[[PARTICULAR]:[PARTICULAR]],_xlfn.AGGREGATE(15,3,(Table1[[#This Row],[Details]:[Details]]=$B28)/(Table1[[#This Row],[Details]:[Details]]=$B28)*(ROW(Table1[[Details]:[Details]])-ROW(Table1[[#Headers],[Details]])),COLUMNS($C$10:AR27))),"")</f>
        <v/>
      </c>
      <c r="AS28" t="str">
        <f>IF(COLUMNS($C$10:AS27)&lt;=$A28,INDEX(Table1[[PARTICULAR]:[PARTICULAR]],_xlfn.AGGREGATE(15,3,(Table1[[#This Row],[Details]:[Details]]=$B28)/(Table1[[#This Row],[Details]:[Details]]=$B28)*(ROW(Table1[[Details]:[Details]])-ROW(Table1[[#Headers],[Details]])),COLUMNS($C$10:AS27))),"")</f>
        <v/>
      </c>
      <c r="AT28" t="str">
        <f>IF(COLUMNS($C$10:AT27)&lt;=$A28,INDEX(Table1[[PARTICULAR]:[PARTICULAR]],_xlfn.AGGREGATE(15,3,(Table1[[#This Row],[Details]:[Details]]=$B28)/(Table1[[#This Row],[Details]:[Details]]=$B28)*(ROW(Table1[[Details]:[Details]])-ROW(Table1[[#Headers],[Details]])),COLUMNS($C$10:AT27))),"")</f>
        <v/>
      </c>
      <c r="AU28" t="str">
        <f>IF(COLUMNS($C$10:AU27)&lt;=$A28,INDEX(Table1[[PARTICULAR]:[PARTICULAR]],_xlfn.AGGREGATE(15,3,(Table1[[#This Row],[Details]:[Details]]=$B28)/(Table1[[#This Row],[Details]:[Details]]=$B28)*(ROW(Table1[[Details]:[Details]])-ROW(Table1[[#Headers],[Details]])),COLUMNS($C$10:AU27))),"")</f>
        <v/>
      </c>
      <c r="AV28" t="str">
        <f>IF(COLUMNS($C$10:AV27)&lt;=$A28,INDEX(Table1[[PARTICULAR]:[PARTICULAR]],_xlfn.AGGREGATE(15,3,(Table1[[#This Row],[Details]:[Details]]=$B28)/(Table1[[#This Row],[Details]:[Details]]=$B28)*(ROW(Table1[[Details]:[Details]])-ROW(Table1[[#Headers],[Details]])),COLUMNS($C$10:AV27))),"")</f>
        <v/>
      </c>
      <c r="AW28" t="str">
        <f>IF(COLUMNS($C$10:AW27)&lt;=$A28,INDEX(Table1[[PARTICULAR]:[PARTICULAR]],_xlfn.AGGREGATE(15,3,(Table1[[#This Row],[Details]:[Details]]=$B28)/(Table1[[#This Row],[Details]:[Details]]=$B28)*(ROW(Table1[[Details]:[Details]])-ROW(Table1[[#Headers],[Details]])),COLUMNS($C$10:AW27))),"")</f>
        <v/>
      </c>
      <c r="AX28" t="str">
        <f>IF(COLUMNS($C$10:AX27)&lt;=$A28,INDEX(Table1[[PARTICULAR]:[PARTICULAR]],_xlfn.AGGREGATE(15,3,(Table1[[#This Row],[Details]:[Details]]=$B28)/(Table1[[#This Row],[Details]:[Details]]=$B28)*(ROW(Table1[[Details]:[Details]])-ROW(Table1[[#Headers],[Details]])),COLUMNS($C$10:AX27))),"")</f>
        <v/>
      </c>
      <c r="AY28" t="str">
        <f>IF(COLUMNS($C$10:AY27)&lt;=$A28,INDEX(Table1[[PARTICULAR]:[PARTICULAR]],_xlfn.AGGREGATE(15,3,(Table1[[#This Row],[Details]:[Details]]=$B28)/(Table1[[#This Row],[Details]:[Details]]=$B28)*(ROW(Table1[[Details]:[Details]])-ROW(Table1[[#Headers],[Details]])),COLUMNS($C$10:AY27))),"")</f>
        <v/>
      </c>
      <c r="AZ28" t="str">
        <f>IF(COLUMNS($C$10:AZ27)&lt;=$A28,INDEX(Table1[[PARTICULAR]:[PARTICULAR]],_xlfn.AGGREGATE(15,3,(Table1[[#This Row],[Details]:[Details]]=$B28)/(Table1[[#This Row],[Details]:[Details]]=$B28)*(ROW(Table1[[Details]:[Details]])-ROW(Table1[[#Headers],[Details]])),COLUMNS($C$10:AZ27))),"")</f>
        <v/>
      </c>
      <c r="BA28" t="str">
        <f>IF(COLUMNS($C$10:BA27)&lt;=$A28,INDEX(Table1[[PARTICULAR]:[PARTICULAR]],_xlfn.AGGREGATE(15,3,(Table1[[#This Row],[Details]:[Details]]=$B28)/(Table1[[#This Row],[Details]:[Details]]=$B28)*(ROW(Table1[[Details]:[Details]])-ROW(Table1[[#Headers],[Details]])),COLUMNS($C$10:BA27))),"")</f>
        <v/>
      </c>
      <c r="BB28" t="str">
        <f>IF(COLUMNS($C$10:BB27)&lt;=$A28,INDEX(Table1[[PARTICULAR]:[PARTICULAR]],_xlfn.AGGREGATE(15,3,(Table1[[#This Row],[Details]:[Details]]=$B28)/(Table1[[#This Row],[Details]:[Details]]=$B28)*(ROW(Table1[[Details]:[Details]])-ROW(Table1[[#Headers],[Details]])),COLUMNS($C$10:BB27))),"")</f>
        <v/>
      </c>
      <c r="BC28" t="str">
        <f>IF(COLUMNS($C$10:BC27)&lt;=$A28,INDEX(Table1[[PARTICULAR]:[PARTICULAR]],_xlfn.AGGREGATE(15,3,(Table1[[#This Row],[Details]:[Details]]=$B28)/(Table1[[#This Row],[Details]:[Details]]=$B28)*(ROW(Table1[[Details]:[Details]])-ROW(Table1[[#Headers],[Details]])),COLUMNS($C$10:BC27))),"")</f>
        <v/>
      </c>
      <c r="BD28" t="str">
        <f>IF(COLUMNS($C$10:BD27)&lt;=$A28,INDEX(Table1[[PARTICULAR]:[PARTICULAR]],_xlfn.AGGREGATE(15,3,(Table1[[#This Row],[Details]:[Details]]=$B28)/(Table1[[#This Row],[Details]:[Details]]=$B28)*(ROW(Table1[[Details]:[Details]])-ROW(Table1[[#Headers],[Details]])),COLUMNS($C$10:BD27))),"")</f>
        <v/>
      </c>
      <c r="BE28" t="str">
        <f>IF(COLUMNS($C$10:BE27)&lt;=$A28,INDEX(Table1[[PARTICULAR]:[PARTICULAR]],_xlfn.AGGREGATE(15,3,(Table1[[#This Row],[Details]:[Details]]=$B28)/(Table1[[#This Row],[Details]:[Details]]=$B28)*(ROW(Table1[[Details]:[Details]])-ROW(Table1[[#Headers],[Details]])),COLUMNS($C$10:BE27))),"")</f>
        <v/>
      </c>
      <c r="BF28" t="str">
        <f>IF(COLUMNS($C$10:BF27)&lt;=$A28,INDEX(Table1[[PARTICULAR]:[PARTICULAR]],_xlfn.AGGREGATE(15,3,(Table1[[#This Row],[Details]:[Details]]=$B28)/(Table1[[#This Row],[Details]:[Details]]=$B28)*(ROW(Table1[[Details]:[Details]])-ROW(Table1[[#Headers],[Details]])),COLUMNS($C$10:BF27))),"")</f>
        <v/>
      </c>
      <c r="BG28" t="str">
        <f>IF(COLUMNS($C$10:BG27)&lt;=$A28,INDEX(Table1[[PARTICULAR]:[PARTICULAR]],_xlfn.AGGREGATE(15,3,(Table1[[#This Row],[Details]:[Details]]=$B28)/(Table1[[#This Row],[Details]:[Details]]=$B28)*(ROW(Table1[[Details]:[Details]])-ROW(Table1[[#Headers],[Details]])),COLUMNS($C$10:BG27))),"")</f>
        <v/>
      </c>
      <c r="BH28" t="str">
        <f>IF(COLUMNS($C$10:BH27)&lt;=$A28,INDEX(Table1[[PARTICULAR]:[PARTICULAR]],_xlfn.AGGREGATE(15,3,(Table1[[#This Row],[Details]:[Details]]=$B28)/(Table1[[#This Row],[Details]:[Details]]=$B28)*(ROW(Table1[[Details]:[Details]])-ROW(Table1[[#Headers],[Details]])),COLUMNS($C$10:BH27))),"")</f>
        <v/>
      </c>
      <c r="BI28" t="str">
        <f>IF(COLUMNS($C$10:BI27)&lt;=$A28,INDEX(Table1[[PARTICULAR]:[PARTICULAR]],_xlfn.AGGREGATE(15,3,(Table1[[#This Row],[Details]:[Details]]=$B28)/(Table1[[#This Row],[Details]:[Details]]=$B28)*(ROW(Table1[[Details]:[Details]])-ROW(Table1[[#Headers],[Details]])),COLUMNS($C$10:BI27))),"")</f>
        <v/>
      </c>
      <c r="BJ28" t="str">
        <f>IF(COLUMNS($C$10:BJ27)&lt;=$A28,INDEX(Table1[[PARTICULAR]:[PARTICULAR]],_xlfn.AGGREGATE(15,3,(Table1[[#This Row],[Details]:[Details]]=$B28)/(Table1[[#This Row],[Details]:[Details]]=$B28)*(ROW(Table1[[Details]:[Details]])-ROW(Table1[[#Headers],[Details]])),COLUMNS($C$10:BJ27))),"")</f>
        <v/>
      </c>
      <c r="BK28" t="str">
        <f>IF(COLUMNS($C$10:BK27)&lt;=$A28,INDEX(Table1[[PARTICULAR]:[PARTICULAR]],_xlfn.AGGREGATE(15,3,(Table1[[#This Row],[Details]:[Details]]=$B28)/(Table1[[#This Row],[Details]:[Details]]=$B28)*(ROW(Table1[[Details]:[Details]])-ROW(Table1[[#Headers],[Details]])),COLUMNS($C$10:BK27))),"")</f>
        <v/>
      </c>
      <c r="BL28" t="str">
        <f>IF(COLUMNS($C$10:BL27)&lt;=$A28,INDEX(Table1[[PARTICULAR]:[PARTICULAR]],_xlfn.AGGREGATE(15,3,(Table1[[#This Row],[Details]:[Details]]=$B28)/(Table1[[#This Row],[Details]:[Details]]=$B28)*(ROW(Table1[[Details]:[Details]])-ROW(Table1[[#Headers],[Details]])),COLUMNS($C$10:BL27))),"")</f>
        <v/>
      </c>
      <c r="BM28" t="str">
        <f>IF(COLUMNS($C$10:BM27)&lt;=$A28,INDEX(Table1[[PARTICULAR]:[PARTICULAR]],_xlfn.AGGREGATE(15,3,(Table1[[#This Row],[Details]:[Details]]=$B28)/(Table1[[#This Row],[Details]:[Details]]=$B28)*(ROW(Table1[[Details]:[Details]])-ROW(Table1[[#Headers],[Details]])),COLUMNS($C$10:BM27))),"")</f>
        <v/>
      </c>
      <c r="BN28" t="str">
        <f>IF(COLUMNS($C$10:BN27)&lt;=$A28,INDEX(Table1[[PARTICULAR]:[PARTICULAR]],_xlfn.AGGREGATE(15,3,(Table1[[#This Row],[Details]:[Details]]=$B28)/(Table1[[#This Row],[Details]:[Details]]=$B28)*(ROW(Table1[[Details]:[Details]])-ROW(Table1[[#Headers],[Details]])),COLUMNS($C$10:BN27))),"")</f>
        <v/>
      </c>
      <c r="BO28" t="str">
        <f>IF(COLUMNS($C$10:BO27)&lt;=$A28,INDEX(Table1[[PARTICULAR]:[PARTICULAR]],_xlfn.AGGREGATE(15,3,(Table1[[#This Row],[Details]:[Details]]=$B28)/(Table1[[#This Row],[Details]:[Details]]=$B28)*(ROW(Table1[[Details]:[Details]])-ROW(Table1[[#Headers],[Details]])),COLUMNS($C$10:BO27))),"")</f>
        <v/>
      </c>
      <c r="BP28" t="str">
        <f>IF(COLUMNS($C$10:BP27)&lt;=$A28,INDEX(Table1[[PARTICULAR]:[PARTICULAR]],_xlfn.AGGREGATE(15,3,(Table1[[#This Row],[Details]:[Details]]=$B28)/(Table1[[#This Row],[Details]:[Details]]=$B28)*(ROW(Table1[[Details]:[Details]])-ROW(Table1[[#Headers],[Details]])),COLUMNS($C$10:BP27))),"")</f>
        <v/>
      </c>
      <c r="BQ28" t="str">
        <f>IF(COLUMNS($C$10:BQ27)&lt;=$A28,INDEX(Table1[[PARTICULAR]:[PARTICULAR]],_xlfn.AGGREGATE(15,3,(Table1[[#This Row],[Details]:[Details]]=$B28)/(Table1[[#This Row],[Details]:[Details]]=$B28)*(ROW(Table1[[Details]:[Details]])-ROW(Table1[[#Headers],[Details]])),COLUMNS($C$10:BQ27))),"")</f>
        <v/>
      </c>
      <c r="BR28" t="str">
        <f>IF(COLUMNS($C$10:BR27)&lt;=$A28,INDEX(Table1[[PARTICULAR]:[PARTICULAR]],_xlfn.AGGREGATE(15,3,(Table1[[#This Row],[Details]:[Details]]=$B28)/(Table1[[#This Row],[Details]:[Details]]=$B28)*(ROW(Table1[[Details]:[Details]])-ROW(Table1[[#Headers],[Details]])),COLUMNS($C$10:BR27))),"")</f>
        <v/>
      </c>
      <c r="BS28" t="str">
        <f>IF(COLUMNS($C$10:BS27)&lt;=$A28,INDEX(Table1[[PARTICULAR]:[PARTICULAR]],_xlfn.AGGREGATE(15,3,(Table1[[#This Row],[Details]:[Details]]=$B28)/(Table1[[#This Row],[Details]:[Details]]=$B28)*(ROW(Table1[[Details]:[Details]])-ROW(Table1[[#Headers],[Details]])),COLUMNS($C$10:BS27))),"")</f>
        <v/>
      </c>
      <c r="BT28" t="str">
        <f>IF(COLUMNS($C$10:BT27)&lt;=$A28,INDEX(Table1[[PARTICULAR]:[PARTICULAR]],_xlfn.AGGREGATE(15,3,(Table1[[#This Row],[Details]:[Details]]=$B28)/(Table1[[#This Row],[Details]:[Details]]=$B28)*(ROW(Table1[[Details]:[Details]])-ROW(Table1[[#Headers],[Details]])),COLUMNS($C$10:BT27))),"")</f>
        <v/>
      </c>
      <c r="BU28" t="str">
        <f>IF(COLUMNS($C$10:BU27)&lt;=$A28,INDEX(Table1[[PARTICULAR]:[PARTICULAR]],_xlfn.AGGREGATE(15,3,(Table1[[#This Row],[Details]:[Details]]=$B28)/(Table1[[#This Row],[Details]:[Details]]=$B28)*(ROW(Table1[[Details]:[Details]])-ROW(Table1[[#Headers],[Details]])),COLUMNS($C$10:BU27))),"")</f>
        <v/>
      </c>
      <c r="BV28" t="str">
        <f>IF(COLUMNS($C$10:BV27)&lt;=$A28,INDEX(Table1[[PARTICULAR]:[PARTICULAR]],_xlfn.AGGREGATE(15,3,(Table1[[#This Row],[Details]:[Details]]=$B28)/(Table1[[#This Row],[Details]:[Details]]=$B28)*(ROW(Table1[[Details]:[Details]])-ROW(Table1[[#Headers],[Details]])),COLUMNS($C$10:BV27))),"")</f>
        <v/>
      </c>
      <c r="BW28" t="str">
        <f>IF(COLUMNS($C$10:BW27)&lt;=$A28,INDEX(Table1[[PARTICULAR]:[PARTICULAR]],_xlfn.AGGREGATE(15,3,(Table1[[#This Row],[Details]:[Details]]=$B28)/(Table1[[#This Row],[Details]:[Details]]=$B28)*(ROW(Table1[[Details]:[Details]])-ROW(Table1[[#Headers],[Details]])),COLUMNS($C$10:BW27))),"")</f>
        <v/>
      </c>
      <c r="BX28" t="str">
        <f>IF(COLUMNS($C$10:BX27)&lt;=$A28,INDEX(Table1[[PARTICULAR]:[PARTICULAR]],_xlfn.AGGREGATE(15,3,(Table1[[#This Row],[Details]:[Details]]=$B28)/(Table1[[#This Row],[Details]:[Details]]=$B28)*(ROW(Table1[[Details]:[Details]])-ROW(Table1[[#Headers],[Details]])),COLUMNS($C$10:BX27))),"")</f>
        <v/>
      </c>
      <c r="BY28" t="str">
        <f>IF(COLUMNS($C$10:BY27)&lt;=$A28,INDEX(Table1[[PARTICULAR]:[PARTICULAR]],_xlfn.AGGREGATE(15,3,(Table1[[#This Row],[Details]:[Details]]=$B28)/(Table1[[#This Row],[Details]:[Details]]=$B28)*(ROW(Table1[[Details]:[Details]])-ROW(Table1[[#Headers],[Details]])),COLUMNS($C$10:BY27))),"")</f>
        <v/>
      </c>
      <c r="BZ28" t="str">
        <f>IF(COLUMNS($C$10:BZ27)&lt;=$A28,INDEX(Table1[[PARTICULAR]:[PARTICULAR]],_xlfn.AGGREGATE(15,3,(Table1[[#This Row],[Details]:[Details]]=$B28)/(Table1[[#This Row],[Details]:[Details]]=$B28)*(ROW(Table1[[Details]:[Details]])-ROW(Table1[[#Headers],[Details]])),COLUMNS($C$10:BZ27))),"")</f>
        <v/>
      </c>
      <c r="CA28" t="str">
        <f>IF(COLUMNS($C$10:CA27)&lt;=$A28,INDEX(Table1[[PARTICULAR]:[PARTICULAR]],_xlfn.AGGREGATE(15,3,(Table1[[#This Row],[Details]:[Details]]=$B28)/(Table1[[#This Row],[Details]:[Details]]=$B28)*(ROW(Table1[[Details]:[Details]])-ROW(Table1[[#Headers],[Details]])),COLUMNS($C$10:CA27))),"")</f>
        <v/>
      </c>
      <c r="CB28" t="str">
        <f>IF(COLUMNS($C$10:CB27)&lt;=$A28,INDEX(Table1[[PARTICULAR]:[PARTICULAR]],_xlfn.AGGREGATE(15,3,(Table1[[#This Row],[Details]:[Details]]=$B28)/(Table1[[#This Row],[Details]:[Details]]=$B28)*(ROW(Table1[[Details]:[Details]])-ROW(Table1[[#Headers],[Details]])),COLUMNS($C$10:CB27))),"")</f>
        <v/>
      </c>
    </row>
    <row r="29" spans="1:80">
      <c r="A29">
        <f>COUNTIF(Table1[Details],B29)</f>
        <v>1</v>
      </c>
      <c r="B29" s="97" t="str">
        <f>IFERROR(INDEX(Table1[Details],MATCH(0,INDEX(COUNTIF($B$10:B28,Table1[Details]),),0)),"")</f>
        <v>Blouse</v>
      </c>
      <c r="C29" t="str">
        <f>IF(COLUMNS($C$10:C28)&lt;=$A29,INDEX(Table1[[PARTICULAR]:[PARTICULAR]],_xlfn.AGGREGATE(15,3,(Table1[[#This Row],[Details]:[Details]]=$B29)/(Table1[[#This Row],[Details]:[Details]]=$B29)*(ROW(Table1[[Details]:[Details]])-ROW(Table1[[#Headers],[Details]])),COLUMNS($C$10:C28))),"")</f>
        <v>BLOUSE</v>
      </c>
      <c r="D29" t="str">
        <f>IF(COLUMNS($C$10:D28)&lt;=$A29,INDEX(Table1[[PARTICULAR]:[PARTICULAR]],_xlfn.AGGREGATE(15,3,(Table1[[#This Row],[Details]:[Details]]=$B29)/(Table1[[#This Row],[Details]:[Details]]=$B29)*(ROW(Table1[[Details]:[Details]])-ROW(Table1[[#Headers],[Details]])),COLUMNS($C$10:D28))),"")</f>
        <v/>
      </c>
      <c r="E29" t="str">
        <f>IF(COLUMNS($C$10:E28)&lt;=$A29,INDEX(Table1[[PARTICULAR]:[PARTICULAR]],_xlfn.AGGREGATE(15,3,(Table1[[#This Row],[Details]:[Details]]=$B29)/(Table1[[#This Row],[Details]:[Details]]=$B29)*(ROW(Table1[[Details]:[Details]])-ROW(Table1[[#Headers],[Details]])),COLUMNS($C$10:E28))),"")</f>
        <v/>
      </c>
      <c r="F29" t="str">
        <f>IF(COLUMNS($C$10:F28)&lt;=$A29,INDEX(Table1[[PARTICULAR]:[PARTICULAR]],_xlfn.AGGREGATE(15,3,(Table1[[#This Row],[Details]:[Details]]=$B29)/(Table1[[#This Row],[Details]:[Details]]=$B29)*(ROW(Table1[[Details]:[Details]])-ROW(Table1[[#Headers],[Details]])),COLUMNS($C$10:F28))),"")</f>
        <v/>
      </c>
      <c r="G29" t="str">
        <f>IF(COLUMNS($C$10:G28)&lt;=$A29,INDEX(Table1[[PARTICULAR]:[PARTICULAR]],_xlfn.AGGREGATE(15,3,(Table1[[#This Row],[Details]:[Details]]=$B29)/(Table1[[#This Row],[Details]:[Details]]=$B29)*(ROW(Table1[[Details]:[Details]])-ROW(Table1[[#Headers],[Details]])),COLUMNS($C$10:G28))),"")</f>
        <v/>
      </c>
      <c r="H29" t="str">
        <f>IF(COLUMNS($C$10:H28)&lt;=$A29,INDEX(Table1[[PARTICULAR]:[PARTICULAR]],_xlfn.AGGREGATE(15,3,(Table1[[#This Row],[Details]:[Details]]=$B29)/(Table1[[#This Row],[Details]:[Details]]=$B29)*(ROW(Table1[[Details]:[Details]])-ROW(Table1[[#Headers],[Details]])),COLUMNS($C$10:H28))),"")</f>
        <v/>
      </c>
      <c r="I29" t="str">
        <f>IF(COLUMNS($C$10:I28)&lt;=$A29,INDEX(Table1[[PARTICULAR]:[PARTICULAR]],_xlfn.AGGREGATE(15,3,(Table1[[#This Row],[Details]:[Details]]=$B29)/(Table1[[#This Row],[Details]:[Details]]=$B29)*(ROW(Table1[[Details]:[Details]])-ROW(Table1[[#Headers],[Details]])),COLUMNS($C$10:I28))),"")</f>
        <v/>
      </c>
      <c r="J29" t="str">
        <f>IF(COLUMNS($C$10:J28)&lt;=$A29,INDEX(Table1[[PARTICULAR]:[PARTICULAR]],_xlfn.AGGREGATE(15,3,(Table1[[#This Row],[Details]:[Details]]=$B29)/(Table1[[#This Row],[Details]:[Details]]=$B29)*(ROW(Table1[[Details]:[Details]])-ROW(Table1[[#Headers],[Details]])),COLUMNS($C$10:J28))),"")</f>
        <v/>
      </c>
      <c r="K29" t="str">
        <f>IF(COLUMNS($C$10:K28)&lt;=$A29,INDEX(Table1[[PARTICULAR]:[PARTICULAR]],_xlfn.AGGREGATE(15,3,(Table1[[#This Row],[Details]:[Details]]=$B29)/(Table1[[#This Row],[Details]:[Details]]=$B29)*(ROW(Table1[[Details]:[Details]])-ROW(Table1[[#Headers],[Details]])),COLUMNS($C$10:K28))),"")</f>
        <v/>
      </c>
      <c r="L29" t="str">
        <f>IF(COLUMNS($C$10:L28)&lt;=$A29,INDEX(Table1[[PARTICULAR]:[PARTICULAR]],_xlfn.AGGREGATE(15,3,(Table1[[#This Row],[Details]:[Details]]=$B29)/(Table1[[#This Row],[Details]:[Details]]=$B29)*(ROW(Table1[[Details]:[Details]])-ROW(Table1[[#Headers],[Details]])),COLUMNS($C$10:L28))),"")</f>
        <v/>
      </c>
      <c r="M29" t="str">
        <f>IF(COLUMNS($C$10:M28)&lt;=$A29,INDEX(Table1[[PARTICULAR]:[PARTICULAR]],_xlfn.AGGREGATE(15,3,(Table1[[#This Row],[Details]:[Details]]=$B29)/(Table1[[#This Row],[Details]:[Details]]=$B29)*(ROW(Table1[[Details]:[Details]])-ROW(Table1[[#Headers],[Details]])),COLUMNS($C$10:M28))),"")</f>
        <v/>
      </c>
      <c r="N29" t="str">
        <f>IF(COLUMNS($C$10:N28)&lt;=$A29,INDEX(Table1[[PARTICULAR]:[PARTICULAR]],_xlfn.AGGREGATE(15,3,(Table1[[#This Row],[Details]:[Details]]=$B29)/(Table1[[#This Row],[Details]:[Details]]=$B29)*(ROW(Table1[[Details]:[Details]])-ROW(Table1[[#Headers],[Details]])),COLUMNS($C$10:N28))),"")</f>
        <v/>
      </c>
      <c r="O29" t="str">
        <f>IF(COLUMNS($C$10:O28)&lt;=$A29,INDEX(Table1[[PARTICULAR]:[PARTICULAR]],_xlfn.AGGREGATE(15,3,(Table1[[#This Row],[Details]:[Details]]=$B29)/(Table1[[#This Row],[Details]:[Details]]=$B29)*(ROW(Table1[[Details]:[Details]])-ROW(Table1[[#Headers],[Details]])),COLUMNS($C$10:O28))),"")</f>
        <v/>
      </c>
      <c r="P29" t="str">
        <f>IF(COLUMNS($C$10:P28)&lt;=$A29,INDEX(Table1[[PARTICULAR]:[PARTICULAR]],_xlfn.AGGREGATE(15,3,(Table1[[#This Row],[Details]:[Details]]=$B29)/(Table1[[#This Row],[Details]:[Details]]=$B29)*(ROW(Table1[[Details]:[Details]])-ROW(Table1[[#Headers],[Details]])),COLUMNS($C$10:P28))),"")</f>
        <v/>
      </c>
      <c r="Q29" t="str">
        <f>IF(COLUMNS($C$10:Q28)&lt;=$A29,INDEX(Table1[[PARTICULAR]:[PARTICULAR]],_xlfn.AGGREGATE(15,3,(Table1[[#This Row],[Details]:[Details]]=$B29)/(Table1[[#This Row],[Details]:[Details]]=$B29)*(ROW(Table1[[Details]:[Details]])-ROW(Table1[[#Headers],[Details]])),COLUMNS($C$10:Q28))),"")</f>
        <v/>
      </c>
      <c r="R29" t="str">
        <f>IF(COLUMNS($C$10:R28)&lt;=$A29,INDEX(Table1[[PARTICULAR]:[PARTICULAR]],_xlfn.AGGREGATE(15,3,(Table1[[#This Row],[Details]:[Details]]=$B29)/(Table1[[#This Row],[Details]:[Details]]=$B29)*(ROW(Table1[[Details]:[Details]])-ROW(Table1[[#Headers],[Details]])),COLUMNS($C$10:R28))),"")</f>
        <v/>
      </c>
      <c r="S29" t="str">
        <f>IF(COLUMNS($C$10:S28)&lt;=$A29,INDEX(Table1[[PARTICULAR]:[PARTICULAR]],_xlfn.AGGREGATE(15,3,(Table1[[#This Row],[Details]:[Details]]=$B29)/(Table1[[#This Row],[Details]:[Details]]=$B29)*(ROW(Table1[[Details]:[Details]])-ROW(Table1[[#Headers],[Details]])),COLUMNS($C$10:S28))),"")</f>
        <v/>
      </c>
      <c r="T29" t="str">
        <f>IF(COLUMNS($C$10:T28)&lt;=$A29,INDEX(Table1[[PARTICULAR]:[PARTICULAR]],_xlfn.AGGREGATE(15,3,(Table1[[#This Row],[Details]:[Details]]=$B29)/(Table1[[#This Row],[Details]:[Details]]=$B29)*(ROW(Table1[[Details]:[Details]])-ROW(Table1[[#Headers],[Details]])),COLUMNS($C$10:T28))),"")</f>
        <v/>
      </c>
      <c r="U29" t="str">
        <f>IF(COLUMNS($C$10:U28)&lt;=$A29,INDEX(Table1[[PARTICULAR]:[PARTICULAR]],_xlfn.AGGREGATE(15,3,(Table1[[#This Row],[Details]:[Details]]=$B29)/(Table1[[#This Row],[Details]:[Details]]=$B29)*(ROW(Table1[[Details]:[Details]])-ROW(Table1[[#Headers],[Details]])),COLUMNS($C$10:U28))),"")</f>
        <v/>
      </c>
      <c r="V29" t="str">
        <f>IF(COLUMNS($C$10:V28)&lt;=$A29,INDEX(Table1[[PARTICULAR]:[PARTICULAR]],_xlfn.AGGREGATE(15,3,(Table1[[#This Row],[Details]:[Details]]=$B29)/(Table1[[#This Row],[Details]:[Details]]=$B29)*(ROW(Table1[[Details]:[Details]])-ROW(Table1[[#Headers],[Details]])),COLUMNS($C$10:V28))),"")</f>
        <v/>
      </c>
      <c r="W29" t="str">
        <f>IF(COLUMNS($C$10:W28)&lt;=$A29,INDEX(Table1[[PARTICULAR]:[PARTICULAR]],_xlfn.AGGREGATE(15,3,(Table1[[#This Row],[Details]:[Details]]=$B29)/(Table1[[#This Row],[Details]:[Details]]=$B29)*(ROW(Table1[[Details]:[Details]])-ROW(Table1[[#Headers],[Details]])),COLUMNS($C$10:W28))),"")</f>
        <v/>
      </c>
      <c r="X29" t="str">
        <f>IF(COLUMNS($C$10:X28)&lt;=$A29,INDEX(Table1[[PARTICULAR]:[PARTICULAR]],_xlfn.AGGREGATE(15,3,(Table1[[#This Row],[Details]:[Details]]=$B29)/(Table1[[#This Row],[Details]:[Details]]=$B29)*(ROW(Table1[[Details]:[Details]])-ROW(Table1[[#Headers],[Details]])),COLUMNS($C$10:X28))),"")</f>
        <v/>
      </c>
      <c r="Y29" t="str">
        <f>IF(COLUMNS($C$10:Y28)&lt;=$A29,INDEX(Table1[[PARTICULAR]:[PARTICULAR]],_xlfn.AGGREGATE(15,3,(Table1[[#This Row],[Details]:[Details]]=$B29)/(Table1[[#This Row],[Details]:[Details]]=$B29)*(ROW(Table1[[Details]:[Details]])-ROW(Table1[[#Headers],[Details]])),COLUMNS($C$10:Y28))),"")</f>
        <v/>
      </c>
      <c r="Z29" t="str">
        <f>IF(COLUMNS($C$10:Z28)&lt;=$A29,INDEX(Table1[[PARTICULAR]:[PARTICULAR]],_xlfn.AGGREGATE(15,3,(Table1[[#This Row],[Details]:[Details]]=$B29)/(Table1[[#This Row],[Details]:[Details]]=$B29)*(ROW(Table1[[Details]:[Details]])-ROW(Table1[[#Headers],[Details]])),COLUMNS($C$10:Z28))),"")</f>
        <v/>
      </c>
      <c r="AA29" t="str">
        <f>IF(COLUMNS($C$10:AA28)&lt;=$A29,INDEX(Table1[[PARTICULAR]:[PARTICULAR]],_xlfn.AGGREGATE(15,3,(Table1[[#This Row],[Details]:[Details]]=$B29)/(Table1[[#This Row],[Details]:[Details]]=$B29)*(ROW(Table1[[Details]:[Details]])-ROW(Table1[[#Headers],[Details]])),COLUMNS($C$10:AA28))),"")</f>
        <v/>
      </c>
      <c r="AB29" t="str">
        <f>IF(COLUMNS($C$10:AB28)&lt;=$A29,INDEX(Table1[[PARTICULAR]:[PARTICULAR]],_xlfn.AGGREGATE(15,3,(Table1[[#This Row],[Details]:[Details]]=$B29)/(Table1[[#This Row],[Details]:[Details]]=$B29)*(ROW(Table1[[Details]:[Details]])-ROW(Table1[[#Headers],[Details]])),COLUMNS($C$10:AB28))),"")</f>
        <v/>
      </c>
      <c r="AC29" t="str">
        <f>IF(COLUMNS($C$10:AC28)&lt;=$A29,INDEX(Table1[[PARTICULAR]:[PARTICULAR]],_xlfn.AGGREGATE(15,3,(Table1[[#This Row],[Details]:[Details]]=$B29)/(Table1[[#This Row],[Details]:[Details]]=$B29)*(ROW(Table1[[Details]:[Details]])-ROW(Table1[[#Headers],[Details]])),COLUMNS($C$10:AC28))),"")</f>
        <v/>
      </c>
      <c r="AD29" t="str">
        <f>IF(COLUMNS($C$10:AD28)&lt;=$A29,INDEX(Table1[[PARTICULAR]:[PARTICULAR]],_xlfn.AGGREGATE(15,3,(Table1[[#This Row],[Details]:[Details]]=$B29)/(Table1[[#This Row],[Details]:[Details]]=$B29)*(ROW(Table1[[Details]:[Details]])-ROW(Table1[[#Headers],[Details]])),COLUMNS($C$10:AD28))),"")</f>
        <v/>
      </c>
      <c r="AE29" t="str">
        <f>IF(COLUMNS($C$10:AE28)&lt;=$A29,INDEX(Table1[[PARTICULAR]:[PARTICULAR]],_xlfn.AGGREGATE(15,3,(Table1[[#This Row],[Details]:[Details]]=$B29)/(Table1[[#This Row],[Details]:[Details]]=$B29)*(ROW(Table1[[Details]:[Details]])-ROW(Table1[[#Headers],[Details]])),COLUMNS($C$10:AE28))),"")</f>
        <v/>
      </c>
      <c r="AF29" t="str">
        <f>IF(COLUMNS($C$10:AF28)&lt;=$A29,INDEX(Table1[[PARTICULAR]:[PARTICULAR]],_xlfn.AGGREGATE(15,3,(Table1[[#This Row],[Details]:[Details]]=$B29)/(Table1[[#This Row],[Details]:[Details]]=$B29)*(ROW(Table1[[Details]:[Details]])-ROW(Table1[[#Headers],[Details]])),COLUMNS($C$10:AF28))),"")</f>
        <v/>
      </c>
      <c r="AG29" t="str">
        <f>IF(COLUMNS($C$10:AG28)&lt;=$A29,INDEX(Table1[[PARTICULAR]:[PARTICULAR]],_xlfn.AGGREGATE(15,3,(Table1[[#This Row],[Details]:[Details]]=$B29)/(Table1[[#This Row],[Details]:[Details]]=$B29)*(ROW(Table1[[Details]:[Details]])-ROW(Table1[[#Headers],[Details]])),COLUMNS($C$10:AG28))),"")</f>
        <v/>
      </c>
      <c r="AH29" t="str">
        <f>IF(COLUMNS($C$10:AH28)&lt;=$A29,INDEX(Table1[[PARTICULAR]:[PARTICULAR]],_xlfn.AGGREGATE(15,3,(Table1[[#This Row],[Details]:[Details]]=$B29)/(Table1[[#This Row],[Details]:[Details]]=$B29)*(ROW(Table1[[Details]:[Details]])-ROW(Table1[[#Headers],[Details]])),COLUMNS($C$10:AH28))),"")</f>
        <v/>
      </c>
      <c r="AI29" t="str">
        <f>IF(COLUMNS($C$10:AI28)&lt;=$A29,INDEX(Table1[[PARTICULAR]:[PARTICULAR]],_xlfn.AGGREGATE(15,3,(Table1[[#This Row],[Details]:[Details]]=$B29)/(Table1[[#This Row],[Details]:[Details]]=$B29)*(ROW(Table1[[Details]:[Details]])-ROW(Table1[[#Headers],[Details]])),COLUMNS($C$10:AI28))),"")</f>
        <v/>
      </c>
      <c r="AJ29" t="str">
        <f>IF(COLUMNS($C$10:AJ28)&lt;=$A29,INDEX(Table1[[PARTICULAR]:[PARTICULAR]],_xlfn.AGGREGATE(15,3,(Table1[[#This Row],[Details]:[Details]]=$B29)/(Table1[[#This Row],[Details]:[Details]]=$B29)*(ROW(Table1[[Details]:[Details]])-ROW(Table1[[#Headers],[Details]])),COLUMNS($C$10:AJ28))),"")</f>
        <v/>
      </c>
      <c r="AK29" t="str">
        <f>IF(COLUMNS($C$10:AK28)&lt;=$A29,INDEX(Table1[[PARTICULAR]:[PARTICULAR]],_xlfn.AGGREGATE(15,3,(Table1[[#This Row],[Details]:[Details]]=$B29)/(Table1[[#This Row],[Details]:[Details]]=$B29)*(ROW(Table1[[Details]:[Details]])-ROW(Table1[[#Headers],[Details]])),COLUMNS($C$10:AK28))),"")</f>
        <v/>
      </c>
      <c r="AL29" t="str">
        <f>IF(COLUMNS($C$10:AL28)&lt;=$A29,INDEX(Table1[[PARTICULAR]:[PARTICULAR]],_xlfn.AGGREGATE(15,3,(Table1[[#This Row],[Details]:[Details]]=$B29)/(Table1[[#This Row],[Details]:[Details]]=$B29)*(ROW(Table1[[Details]:[Details]])-ROW(Table1[[#Headers],[Details]])),COLUMNS($C$10:AL28))),"")</f>
        <v/>
      </c>
      <c r="AM29" t="str">
        <f>IF(COLUMNS($C$10:AM28)&lt;=$A29,INDEX(Table1[[PARTICULAR]:[PARTICULAR]],_xlfn.AGGREGATE(15,3,(Table1[[#This Row],[Details]:[Details]]=$B29)/(Table1[[#This Row],[Details]:[Details]]=$B29)*(ROW(Table1[[Details]:[Details]])-ROW(Table1[[#Headers],[Details]])),COLUMNS($C$10:AM28))),"")</f>
        <v/>
      </c>
      <c r="AN29" t="str">
        <f>IF(COLUMNS($C$10:AN28)&lt;=$A29,INDEX(Table1[[PARTICULAR]:[PARTICULAR]],_xlfn.AGGREGATE(15,3,(Table1[[#This Row],[Details]:[Details]]=$B29)/(Table1[[#This Row],[Details]:[Details]]=$B29)*(ROW(Table1[[Details]:[Details]])-ROW(Table1[[#Headers],[Details]])),COLUMNS($C$10:AN28))),"")</f>
        <v/>
      </c>
      <c r="AO29" t="str">
        <f>IF(COLUMNS($C$10:AO28)&lt;=$A29,INDEX(Table1[[PARTICULAR]:[PARTICULAR]],_xlfn.AGGREGATE(15,3,(Table1[[#This Row],[Details]:[Details]]=$B29)/(Table1[[#This Row],[Details]:[Details]]=$B29)*(ROW(Table1[[Details]:[Details]])-ROW(Table1[[#Headers],[Details]])),COLUMNS($C$10:AO28))),"")</f>
        <v/>
      </c>
      <c r="AP29" t="str">
        <f>IF(COLUMNS($C$10:AP28)&lt;=$A29,INDEX(Table1[[PARTICULAR]:[PARTICULAR]],_xlfn.AGGREGATE(15,3,(Table1[[#This Row],[Details]:[Details]]=$B29)/(Table1[[#This Row],[Details]:[Details]]=$B29)*(ROW(Table1[[Details]:[Details]])-ROW(Table1[[#Headers],[Details]])),COLUMNS($C$10:AP28))),"")</f>
        <v/>
      </c>
      <c r="AQ29" t="str">
        <f>IF(COLUMNS($C$10:AQ28)&lt;=$A29,INDEX(Table1[[PARTICULAR]:[PARTICULAR]],_xlfn.AGGREGATE(15,3,(Table1[[#This Row],[Details]:[Details]]=$B29)/(Table1[[#This Row],[Details]:[Details]]=$B29)*(ROW(Table1[[Details]:[Details]])-ROW(Table1[[#Headers],[Details]])),COLUMNS($C$10:AQ28))),"")</f>
        <v/>
      </c>
      <c r="AR29" t="str">
        <f>IF(COLUMNS($C$10:AR28)&lt;=$A29,INDEX(Table1[[PARTICULAR]:[PARTICULAR]],_xlfn.AGGREGATE(15,3,(Table1[[#This Row],[Details]:[Details]]=$B29)/(Table1[[#This Row],[Details]:[Details]]=$B29)*(ROW(Table1[[Details]:[Details]])-ROW(Table1[[#Headers],[Details]])),COLUMNS($C$10:AR28))),"")</f>
        <v/>
      </c>
      <c r="AS29" t="str">
        <f>IF(COLUMNS($C$10:AS28)&lt;=$A29,INDEX(Table1[[PARTICULAR]:[PARTICULAR]],_xlfn.AGGREGATE(15,3,(Table1[[#This Row],[Details]:[Details]]=$B29)/(Table1[[#This Row],[Details]:[Details]]=$B29)*(ROW(Table1[[Details]:[Details]])-ROW(Table1[[#Headers],[Details]])),COLUMNS($C$10:AS28))),"")</f>
        <v/>
      </c>
      <c r="AT29" t="str">
        <f>IF(COLUMNS($C$10:AT28)&lt;=$A29,INDEX(Table1[[PARTICULAR]:[PARTICULAR]],_xlfn.AGGREGATE(15,3,(Table1[[#This Row],[Details]:[Details]]=$B29)/(Table1[[#This Row],[Details]:[Details]]=$B29)*(ROW(Table1[[Details]:[Details]])-ROW(Table1[[#Headers],[Details]])),COLUMNS($C$10:AT28))),"")</f>
        <v/>
      </c>
      <c r="AU29" t="str">
        <f>IF(COLUMNS($C$10:AU28)&lt;=$A29,INDEX(Table1[[PARTICULAR]:[PARTICULAR]],_xlfn.AGGREGATE(15,3,(Table1[[#This Row],[Details]:[Details]]=$B29)/(Table1[[#This Row],[Details]:[Details]]=$B29)*(ROW(Table1[[Details]:[Details]])-ROW(Table1[[#Headers],[Details]])),COLUMNS($C$10:AU28))),"")</f>
        <v/>
      </c>
      <c r="AV29" t="str">
        <f>IF(COLUMNS($C$10:AV28)&lt;=$A29,INDEX(Table1[[PARTICULAR]:[PARTICULAR]],_xlfn.AGGREGATE(15,3,(Table1[[#This Row],[Details]:[Details]]=$B29)/(Table1[[#This Row],[Details]:[Details]]=$B29)*(ROW(Table1[[Details]:[Details]])-ROW(Table1[[#Headers],[Details]])),COLUMNS($C$10:AV28))),"")</f>
        <v/>
      </c>
      <c r="AW29" t="str">
        <f>IF(COLUMNS($C$10:AW28)&lt;=$A29,INDEX(Table1[[PARTICULAR]:[PARTICULAR]],_xlfn.AGGREGATE(15,3,(Table1[[#This Row],[Details]:[Details]]=$B29)/(Table1[[#This Row],[Details]:[Details]]=$B29)*(ROW(Table1[[Details]:[Details]])-ROW(Table1[[#Headers],[Details]])),COLUMNS($C$10:AW28))),"")</f>
        <v/>
      </c>
      <c r="AX29" t="str">
        <f>IF(COLUMNS($C$10:AX28)&lt;=$A29,INDEX(Table1[[PARTICULAR]:[PARTICULAR]],_xlfn.AGGREGATE(15,3,(Table1[[#This Row],[Details]:[Details]]=$B29)/(Table1[[#This Row],[Details]:[Details]]=$B29)*(ROW(Table1[[Details]:[Details]])-ROW(Table1[[#Headers],[Details]])),COLUMNS($C$10:AX28))),"")</f>
        <v/>
      </c>
      <c r="AY29" t="str">
        <f>IF(COLUMNS($C$10:AY28)&lt;=$A29,INDEX(Table1[[PARTICULAR]:[PARTICULAR]],_xlfn.AGGREGATE(15,3,(Table1[[#This Row],[Details]:[Details]]=$B29)/(Table1[[#This Row],[Details]:[Details]]=$B29)*(ROW(Table1[[Details]:[Details]])-ROW(Table1[[#Headers],[Details]])),COLUMNS($C$10:AY28))),"")</f>
        <v/>
      </c>
      <c r="AZ29" t="str">
        <f>IF(COLUMNS($C$10:AZ28)&lt;=$A29,INDEX(Table1[[PARTICULAR]:[PARTICULAR]],_xlfn.AGGREGATE(15,3,(Table1[[#This Row],[Details]:[Details]]=$B29)/(Table1[[#This Row],[Details]:[Details]]=$B29)*(ROW(Table1[[Details]:[Details]])-ROW(Table1[[#Headers],[Details]])),COLUMNS($C$10:AZ28))),"")</f>
        <v/>
      </c>
      <c r="BA29" t="str">
        <f>IF(COLUMNS($C$10:BA28)&lt;=$A29,INDEX(Table1[[PARTICULAR]:[PARTICULAR]],_xlfn.AGGREGATE(15,3,(Table1[[#This Row],[Details]:[Details]]=$B29)/(Table1[[#This Row],[Details]:[Details]]=$B29)*(ROW(Table1[[Details]:[Details]])-ROW(Table1[[#Headers],[Details]])),COLUMNS($C$10:BA28))),"")</f>
        <v/>
      </c>
      <c r="BB29" t="str">
        <f>IF(COLUMNS($C$10:BB28)&lt;=$A29,INDEX(Table1[[PARTICULAR]:[PARTICULAR]],_xlfn.AGGREGATE(15,3,(Table1[[#This Row],[Details]:[Details]]=$B29)/(Table1[[#This Row],[Details]:[Details]]=$B29)*(ROW(Table1[[Details]:[Details]])-ROW(Table1[[#Headers],[Details]])),COLUMNS($C$10:BB28))),"")</f>
        <v/>
      </c>
      <c r="BC29" t="str">
        <f>IF(COLUMNS($C$10:BC28)&lt;=$A29,INDEX(Table1[[PARTICULAR]:[PARTICULAR]],_xlfn.AGGREGATE(15,3,(Table1[[#This Row],[Details]:[Details]]=$B29)/(Table1[[#This Row],[Details]:[Details]]=$B29)*(ROW(Table1[[Details]:[Details]])-ROW(Table1[[#Headers],[Details]])),COLUMNS($C$10:BC28))),"")</f>
        <v/>
      </c>
      <c r="BD29" t="str">
        <f>IF(COLUMNS($C$10:BD28)&lt;=$A29,INDEX(Table1[[PARTICULAR]:[PARTICULAR]],_xlfn.AGGREGATE(15,3,(Table1[[#This Row],[Details]:[Details]]=$B29)/(Table1[[#This Row],[Details]:[Details]]=$B29)*(ROW(Table1[[Details]:[Details]])-ROW(Table1[[#Headers],[Details]])),COLUMNS($C$10:BD28))),"")</f>
        <v/>
      </c>
      <c r="BE29" t="str">
        <f>IF(COLUMNS($C$10:BE28)&lt;=$A29,INDEX(Table1[[PARTICULAR]:[PARTICULAR]],_xlfn.AGGREGATE(15,3,(Table1[[#This Row],[Details]:[Details]]=$B29)/(Table1[[#This Row],[Details]:[Details]]=$B29)*(ROW(Table1[[Details]:[Details]])-ROW(Table1[[#Headers],[Details]])),COLUMNS($C$10:BE28))),"")</f>
        <v/>
      </c>
      <c r="BF29" t="str">
        <f>IF(COLUMNS($C$10:BF28)&lt;=$A29,INDEX(Table1[[PARTICULAR]:[PARTICULAR]],_xlfn.AGGREGATE(15,3,(Table1[[#This Row],[Details]:[Details]]=$B29)/(Table1[[#This Row],[Details]:[Details]]=$B29)*(ROW(Table1[[Details]:[Details]])-ROW(Table1[[#Headers],[Details]])),COLUMNS($C$10:BF28))),"")</f>
        <v/>
      </c>
      <c r="BG29" t="str">
        <f>IF(COLUMNS($C$10:BG28)&lt;=$A29,INDEX(Table1[[PARTICULAR]:[PARTICULAR]],_xlfn.AGGREGATE(15,3,(Table1[[#This Row],[Details]:[Details]]=$B29)/(Table1[[#This Row],[Details]:[Details]]=$B29)*(ROW(Table1[[Details]:[Details]])-ROW(Table1[[#Headers],[Details]])),COLUMNS($C$10:BG28))),"")</f>
        <v/>
      </c>
      <c r="BH29" t="str">
        <f>IF(COLUMNS($C$10:BH28)&lt;=$A29,INDEX(Table1[[PARTICULAR]:[PARTICULAR]],_xlfn.AGGREGATE(15,3,(Table1[[#This Row],[Details]:[Details]]=$B29)/(Table1[[#This Row],[Details]:[Details]]=$B29)*(ROW(Table1[[Details]:[Details]])-ROW(Table1[[#Headers],[Details]])),COLUMNS($C$10:BH28))),"")</f>
        <v/>
      </c>
      <c r="BI29" t="str">
        <f>IF(COLUMNS($C$10:BI28)&lt;=$A29,INDEX(Table1[[PARTICULAR]:[PARTICULAR]],_xlfn.AGGREGATE(15,3,(Table1[[#This Row],[Details]:[Details]]=$B29)/(Table1[[#This Row],[Details]:[Details]]=$B29)*(ROW(Table1[[Details]:[Details]])-ROW(Table1[[#Headers],[Details]])),COLUMNS($C$10:BI28))),"")</f>
        <v/>
      </c>
      <c r="BJ29" t="str">
        <f>IF(COLUMNS($C$10:BJ28)&lt;=$A29,INDEX(Table1[[PARTICULAR]:[PARTICULAR]],_xlfn.AGGREGATE(15,3,(Table1[[#This Row],[Details]:[Details]]=$B29)/(Table1[[#This Row],[Details]:[Details]]=$B29)*(ROW(Table1[[Details]:[Details]])-ROW(Table1[[#Headers],[Details]])),COLUMNS($C$10:BJ28))),"")</f>
        <v/>
      </c>
      <c r="BK29" t="str">
        <f>IF(COLUMNS($C$10:BK28)&lt;=$A29,INDEX(Table1[[PARTICULAR]:[PARTICULAR]],_xlfn.AGGREGATE(15,3,(Table1[[#This Row],[Details]:[Details]]=$B29)/(Table1[[#This Row],[Details]:[Details]]=$B29)*(ROW(Table1[[Details]:[Details]])-ROW(Table1[[#Headers],[Details]])),COLUMNS($C$10:BK28))),"")</f>
        <v/>
      </c>
      <c r="BL29" t="str">
        <f>IF(COLUMNS($C$10:BL28)&lt;=$A29,INDEX(Table1[[PARTICULAR]:[PARTICULAR]],_xlfn.AGGREGATE(15,3,(Table1[[#This Row],[Details]:[Details]]=$B29)/(Table1[[#This Row],[Details]:[Details]]=$B29)*(ROW(Table1[[Details]:[Details]])-ROW(Table1[[#Headers],[Details]])),COLUMNS($C$10:BL28))),"")</f>
        <v/>
      </c>
      <c r="BM29" t="str">
        <f>IF(COLUMNS($C$10:BM28)&lt;=$A29,INDEX(Table1[[PARTICULAR]:[PARTICULAR]],_xlfn.AGGREGATE(15,3,(Table1[[#This Row],[Details]:[Details]]=$B29)/(Table1[[#This Row],[Details]:[Details]]=$B29)*(ROW(Table1[[Details]:[Details]])-ROW(Table1[[#Headers],[Details]])),COLUMNS($C$10:BM28))),"")</f>
        <v/>
      </c>
      <c r="BN29" t="str">
        <f>IF(COLUMNS($C$10:BN28)&lt;=$A29,INDEX(Table1[[PARTICULAR]:[PARTICULAR]],_xlfn.AGGREGATE(15,3,(Table1[[#This Row],[Details]:[Details]]=$B29)/(Table1[[#This Row],[Details]:[Details]]=$B29)*(ROW(Table1[[Details]:[Details]])-ROW(Table1[[#Headers],[Details]])),COLUMNS($C$10:BN28))),"")</f>
        <v/>
      </c>
      <c r="BO29" t="str">
        <f>IF(COLUMNS($C$10:BO28)&lt;=$A29,INDEX(Table1[[PARTICULAR]:[PARTICULAR]],_xlfn.AGGREGATE(15,3,(Table1[[#This Row],[Details]:[Details]]=$B29)/(Table1[[#This Row],[Details]:[Details]]=$B29)*(ROW(Table1[[Details]:[Details]])-ROW(Table1[[#Headers],[Details]])),COLUMNS($C$10:BO28))),"")</f>
        <v/>
      </c>
      <c r="BP29" t="str">
        <f>IF(COLUMNS($C$10:BP28)&lt;=$A29,INDEX(Table1[[PARTICULAR]:[PARTICULAR]],_xlfn.AGGREGATE(15,3,(Table1[[#This Row],[Details]:[Details]]=$B29)/(Table1[[#This Row],[Details]:[Details]]=$B29)*(ROW(Table1[[Details]:[Details]])-ROW(Table1[[#Headers],[Details]])),COLUMNS($C$10:BP28))),"")</f>
        <v/>
      </c>
      <c r="BQ29" t="str">
        <f>IF(COLUMNS($C$10:BQ28)&lt;=$A29,INDEX(Table1[[PARTICULAR]:[PARTICULAR]],_xlfn.AGGREGATE(15,3,(Table1[[#This Row],[Details]:[Details]]=$B29)/(Table1[[#This Row],[Details]:[Details]]=$B29)*(ROW(Table1[[Details]:[Details]])-ROW(Table1[[#Headers],[Details]])),COLUMNS($C$10:BQ28))),"")</f>
        <v/>
      </c>
      <c r="BR29" t="str">
        <f>IF(COLUMNS($C$10:BR28)&lt;=$A29,INDEX(Table1[[PARTICULAR]:[PARTICULAR]],_xlfn.AGGREGATE(15,3,(Table1[[#This Row],[Details]:[Details]]=$B29)/(Table1[[#This Row],[Details]:[Details]]=$B29)*(ROW(Table1[[Details]:[Details]])-ROW(Table1[[#Headers],[Details]])),COLUMNS($C$10:BR28))),"")</f>
        <v/>
      </c>
      <c r="BS29" t="str">
        <f>IF(COLUMNS($C$10:BS28)&lt;=$A29,INDEX(Table1[[PARTICULAR]:[PARTICULAR]],_xlfn.AGGREGATE(15,3,(Table1[[#This Row],[Details]:[Details]]=$B29)/(Table1[[#This Row],[Details]:[Details]]=$B29)*(ROW(Table1[[Details]:[Details]])-ROW(Table1[[#Headers],[Details]])),COLUMNS($C$10:BS28))),"")</f>
        <v/>
      </c>
      <c r="BT29" t="str">
        <f>IF(COLUMNS($C$10:BT28)&lt;=$A29,INDEX(Table1[[PARTICULAR]:[PARTICULAR]],_xlfn.AGGREGATE(15,3,(Table1[[#This Row],[Details]:[Details]]=$B29)/(Table1[[#This Row],[Details]:[Details]]=$B29)*(ROW(Table1[[Details]:[Details]])-ROW(Table1[[#Headers],[Details]])),COLUMNS($C$10:BT28))),"")</f>
        <v/>
      </c>
      <c r="BU29" t="str">
        <f>IF(COLUMNS($C$10:BU28)&lt;=$A29,INDEX(Table1[[PARTICULAR]:[PARTICULAR]],_xlfn.AGGREGATE(15,3,(Table1[[#This Row],[Details]:[Details]]=$B29)/(Table1[[#This Row],[Details]:[Details]]=$B29)*(ROW(Table1[[Details]:[Details]])-ROW(Table1[[#Headers],[Details]])),COLUMNS($C$10:BU28))),"")</f>
        <v/>
      </c>
      <c r="BV29" t="str">
        <f>IF(COLUMNS($C$10:BV28)&lt;=$A29,INDEX(Table1[[PARTICULAR]:[PARTICULAR]],_xlfn.AGGREGATE(15,3,(Table1[[#This Row],[Details]:[Details]]=$B29)/(Table1[[#This Row],[Details]:[Details]]=$B29)*(ROW(Table1[[Details]:[Details]])-ROW(Table1[[#Headers],[Details]])),COLUMNS($C$10:BV28))),"")</f>
        <v/>
      </c>
      <c r="BW29" t="str">
        <f>IF(COLUMNS($C$10:BW28)&lt;=$A29,INDEX(Table1[[PARTICULAR]:[PARTICULAR]],_xlfn.AGGREGATE(15,3,(Table1[[#This Row],[Details]:[Details]]=$B29)/(Table1[[#This Row],[Details]:[Details]]=$B29)*(ROW(Table1[[Details]:[Details]])-ROW(Table1[[#Headers],[Details]])),COLUMNS($C$10:BW28))),"")</f>
        <v/>
      </c>
      <c r="BX29" t="str">
        <f>IF(COLUMNS($C$10:BX28)&lt;=$A29,INDEX(Table1[[PARTICULAR]:[PARTICULAR]],_xlfn.AGGREGATE(15,3,(Table1[[#This Row],[Details]:[Details]]=$B29)/(Table1[[#This Row],[Details]:[Details]]=$B29)*(ROW(Table1[[Details]:[Details]])-ROW(Table1[[#Headers],[Details]])),COLUMNS($C$10:BX28))),"")</f>
        <v/>
      </c>
      <c r="BY29" t="str">
        <f>IF(COLUMNS($C$10:BY28)&lt;=$A29,INDEX(Table1[[PARTICULAR]:[PARTICULAR]],_xlfn.AGGREGATE(15,3,(Table1[[#This Row],[Details]:[Details]]=$B29)/(Table1[[#This Row],[Details]:[Details]]=$B29)*(ROW(Table1[[Details]:[Details]])-ROW(Table1[[#Headers],[Details]])),COLUMNS($C$10:BY28))),"")</f>
        <v/>
      </c>
      <c r="BZ29" t="str">
        <f>IF(COLUMNS($C$10:BZ28)&lt;=$A29,INDEX(Table1[[PARTICULAR]:[PARTICULAR]],_xlfn.AGGREGATE(15,3,(Table1[[#This Row],[Details]:[Details]]=$B29)/(Table1[[#This Row],[Details]:[Details]]=$B29)*(ROW(Table1[[Details]:[Details]])-ROW(Table1[[#Headers],[Details]])),COLUMNS($C$10:BZ28))),"")</f>
        <v/>
      </c>
      <c r="CA29" t="str">
        <f>IF(COLUMNS($C$10:CA28)&lt;=$A29,INDEX(Table1[[PARTICULAR]:[PARTICULAR]],_xlfn.AGGREGATE(15,3,(Table1[[#This Row],[Details]:[Details]]=$B29)/(Table1[[#This Row],[Details]:[Details]]=$B29)*(ROW(Table1[[Details]:[Details]])-ROW(Table1[[#Headers],[Details]])),COLUMNS($C$10:CA28))),"")</f>
        <v/>
      </c>
      <c r="CB29" t="str">
        <f>IF(COLUMNS($C$10:CB28)&lt;=$A29,INDEX(Table1[[PARTICULAR]:[PARTICULAR]],_xlfn.AGGREGATE(15,3,(Table1[[#This Row],[Details]:[Details]]=$B29)/(Table1[[#This Row],[Details]:[Details]]=$B29)*(ROW(Table1[[Details]:[Details]])-ROW(Table1[[#Headers],[Details]])),COLUMNS($C$10:CB28))),"")</f>
        <v/>
      </c>
    </row>
    <row r="30" spans="1:80">
      <c r="A30">
        <f>COUNTIF(Table1[Details],B30)</f>
        <v>1</v>
      </c>
      <c r="B30" s="97" t="str">
        <f>IFERROR(INDEX(Table1[Details],MATCH(0,INDEX(COUNTIF($B$10:B29,Table1[Details]),),0)),"")</f>
        <v>wallpaper</v>
      </c>
      <c r="C30" t="str">
        <f>IF(COLUMNS($C$10:C29)&lt;=$A30,INDEX(Table1[[PARTICULAR]:[PARTICULAR]],_xlfn.AGGREGATE(15,3,(Table1[[#This Row],[Details]:[Details]]=$B30)/(Table1[[#This Row],[Details]:[Details]]=$B30)*(ROW(Table1[[Details]:[Details]])-ROW(Table1[[#Headers],[Details]])),COLUMNS($C$10:C29))),"")</f>
        <v>Candies Wallpaper  </v>
      </c>
      <c r="D30" t="str">
        <f>IF(COLUMNS($C$10:D29)&lt;=$A30,INDEX(Table1[[PARTICULAR]:[PARTICULAR]],_xlfn.AGGREGATE(15,3,(Table1[[#This Row],[Details]:[Details]]=$B30)/(Table1[[#This Row],[Details]:[Details]]=$B30)*(ROW(Table1[[Details]:[Details]])-ROW(Table1[[#Headers],[Details]])),COLUMNS($C$10:D29))),"")</f>
        <v/>
      </c>
      <c r="E30" t="str">
        <f>IF(COLUMNS($C$10:E29)&lt;=$A30,INDEX(Table1[[PARTICULAR]:[PARTICULAR]],_xlfn.AGGREGATE(15,3,(Table1[[#This Row],[Details]:[Details]]=$B30)/(Table1[[#This Row],[Details]:[Details]]=$B30)*(ROW(Table1[[Details]:[Details]])-ROW(Table1[[#Headers],[Details]])),COLUMNS($C$10:E29))),"")</f>
        <v/>
      </c>
      <c r="F30" t="str">
        <f>IF(COLUMNS($C$10:F29)&lt;=$A30,INDEX(Table1[[PARTICULAR]:[PARTICULAR]],_xlfn.AGGREGATE(15,3,(Table1[[#This Row],[Details]:[Details]]=$B30)/(Table1[[#This Row],[Details]:[Details]]=$B30)*(ROW(Table1[[Details]:[Details]])-ROW(Table1[[#Headers],[Details]])),COLUMNS($C$10:F29))),"")</f>
        <v/>
      </c>
      <c r="G30" t="str">
        <f>IF(COLUMNS($C$10:G29)&lt;=$A30,INDEX(Table1[[PARTICULAR]:[PARTICULAR]],_xlfn.AGGREGATE(15,3,(Table1[[#This Row],[Details]:[Details]]=$B30)/(Table1[[#This Row],[Details]:[Details]]=$B30)*(ROW(Table1[[Details]:[Details]])-ROW(Table1[[#Headers],[Details]])),COLUMNS($C$10:G29))),"")</f>
        <v/>
      </c>
      <c r="H30" t="str">
        <f>IF(COLUMNS($C$10:H29)&lt;=$A30,INDEX(Table1[[PARTICULAR]:[PARTICULAR]],_xlfn.AGGREGATE(15,3,(Table1[[#This Row],[Details]:[Details]]=$B30)/(Table1[[#This Row],[Details]:[Details]]=$B30)*(ROW(Table1[[Details]:[Details]])-ROW(Table1[[#Headers],[Details]])),COLUMNS($C$10:H29))),"")</f>
        <v/>
      </c>
      <c r="I30" t="str">
        <f>IF(COLUMNS($C$10:I29)&lt;=$A30,INDEX(Table1[[PARTICULAR]:[PARTICULAR]],_xlfn.AGGREGATE(15,3,(Table1[[#This Row],[Details]:[Details]]=$B30)/(Table1[[#This Row],[Details]:[Details]]=$B30)*(ROW(Table1[[Details]:[Details]])-ROW(Table1[[#Headers],[Details]])),COLUMNS($C$10:I29))),"")</f>
        <v/>
      </c>
      <c r="J30" t="str">
        <f>IF(COLUMNS($C$10:J29)&lt;=$A30,INDEX(Table1[[PARTICULAR]:[PARTICULAR]],_xlfn.AGGREGATE(15,3,(Table1[[#This Row],[Details]:[Details]]=$B30)/(Table1[[#This Row],[Details]:[Details]]=$B30)*(ROW(Table1[[Details]:[Details]])-ROW(Table1[[#Headers],[Details]])),COLUMNS($C$10:J29))),"")</f>
        <v/>
      </c>
      <c r="K30" t="str">
        <f>IF(COLUMNS($C$10:K29)&lt;=$A30,INDEX(Table1[[PARTICULAR]:[PARTICULAR]],_xlfn.AGGREGATE(15,3,(Table1[[#This Row],[Details]:[Details]]=$B30)/(Table1[[#This Row],[Details]:[Details]]=$B30)*(ROW(Table1[[Details]:[Details]])-ROW(Table1[[#Headers],[Details]])),COLUMNS($C$10:K29))),"")</f>
        <v/>
      </c>
      <c r="L30" t="str">
        <f>IF(COLUMNS($C$10:L29)&lt;=$A30,INDEX(Table1[[PARTICULAR]:[PARTICULAR]],_xlfn.AGGREGATE(15,3,(Table1[[#This Row],[Details]:[Details]]=$B30)/(Table1[[#This Row],[Details]:[Details]]=$B30)*(ROW(Table1[[Details]:[Details]])-ROW(Table1[[#Headers],[Details]])),COLUMNS($C$10:L29))),"")</f>
        <v/>
      </c>
      <c r="M30" t="str">
        <f>IF(COLUMNS($C$10:M29)&lt;=$A30,INDEX(Table1[[PARTICULAR]:[PARTICULAR]],_xlfn.AGGREGATE(15,3,(Table1[[#This Row],[Details]:[Details]]=$B30)/(Table1[[#This Row],[Details]:[Details]]=$B30)*(ROW(Table1[[Details]:[Details]])-ROW(Table1[[#Headers],[Details]])),COLUMNS($C$10:M29))),"")</f>
        <v/>
      </c>
      <c r="N30" t="str">
        <f>IF(COLUMNS($C$10:N29)&lt;=$A30,INDEX(Table1[[PARTICULAR]:[PARTICULAR]],_xlfn.AGGREGATE(15,3,(Table1[[#This Row],[Details]:[Details]]=$B30)/(Table1[[#This Row],[Details]:[Details]]=$B30)*(ROW(Table1[[Details]:[Details]])-ROW(Table1[[#Headers],[Details]])),COLUMNS($C$10:N29))),"")</f>
        <v/>
      </c>
      <c r="O30" t="str">
        <f>IF(COLUMNS($C$10:O29)&lt;=$A30,INDEX(Table1[[PARTICULAR]:[PARTICULAR]],_xlfn.AGGREGATE(15,3,(Table1[[#This Row],[Details]:[Details]]=$B30)/(Table1[[#This Row],[Details]:[Details]]=$B30)*(ROW(Table1[[Details]:[Details]])-ROW(Table1[[#Headers],[Details]])),COLUMNS($C$10:O29))),"")</f>
        <v/>
      </c>
      <c r="P30" t="str">
        <f>IF(COLUMNS($C$10:P29)&lt;=$A30,INDEX(Table1[[PARTICULAR]:[PARTICULAR]],_xlfn.AGGREGATE(15,3,(Table1[[#This Row],[Details]:[Details]]=$B30)/(Table1[[#This Row],[Details]:[Details]]=$B30)*(ROW(Table1[[Details]:[Details]])-ROW(Table1[[#Headers],[Details]])),COLUMNS($C$10:P29))),"")</f>
        <v/>
      </c>
      <c r="Q30" t="str">
        <f>IF(COLUMNS($C$10:Q29)&lt;=$A30,INDEX(Table1[[PARTICULAR]:[PARTICULAR]],_xlfn.AGGREGATE(15,3,(Table1[[#This Row],[Details]:[Details]]=$B30)/(Table1[[#This Row],[Details]:[Details]]=$B30)*(ROW(Table1[[Details]:[Details]])-ROW(Table1[[#Headers],[Details]])),COLUMNS($C$10:Q29))),"")</f>
        <v/>
      </c>
      <c r="R30" t="str">
        <f>IF(COLUMNS($C$10:R29)&lt;=$A30,INDEX(Table1[[PARTICULAR]:[PARTICULAR]],_xlfn.AGGREGATE(15,3,(Table1[[#This Row],[Details]:[Details]]=$B30)/(Table1[[#This Row],[Details]:[Details]]=$B30)*(ROW(Table1[[Details]:[Details]])-ROW(Table1[[#Headers],[Details]])),COLUMNS($C$10:R29))),"")</f>
        <v/>
      </c>
      <c r="S30" t="str">
        <f>IF(COLUMNS($C$10:S29)&lt;=$A30,INDEX(Table1[[PARTICULAR]:[PARTICULAR]],_xlfn.AGGREGATE(15,3,(Table1[[#This Row],[Details]:[Details]]=$B30)/(Table1[[#This Row],[Details]:[Details]]=$B30)*(ROW(Table1[[Details]:[Details]])-ROW(Table1[[#Headers],[Details]])),COLUMNS($C$10:S29))),"")</f>
        <v/>
      </c>
      <c r="T30" t="str">
        <f>IF(COLUMNS($C$10:T29)&lt;=$A30,INDEX(Table1[[PARTICULAR]:[PARTICULAR]],_xlfn.AGGREGATE(15,3,(Table1[[#This Row],[Details]:[Details]]=$B30)/(Table1[[#This Row],[Details]:[Details]]=$B30)*(ROW(Table1[[Details]:[Details]])-ROW(Table1[[#Headers],[Details]])),COLUMNS($C$10:T29))),"")</f>
        <v/>
      </c>
      <c r="U30" t="str">
        <f>IF(COLUMNS($C$10:U29)&lt;=$A30,INDEX(Table1[[PARTICULAR]:[PARTICULAR]],_xlfn.AGGREGATE(15,3,(Table1[[#This Row],[Details]:[Details]]=$B30)/(Table1[[#This Row],[Details]:[Details]]=$B30)*(ROW(Table1[[Details]:[Details]])-ROW(Table1[[#Headers],[Details]])),COLUMNS($C$10:U29))),"")</f>
        <v/>
      </c>
      <c r="V30" t="str">
        <f>IF(COLUMNS($C$10:V29)&lt;=$A30,INDEX(Table1[[PARTICULAR]:[PARTICULAR]],_xlfn.AGGREGATE(15,3,(Table1[[#This Row],[Details]:[Details]]=$B30)/(Table1[[#This Row],[Details]:[Details]]=$B30)*(ROW(Table1[[Details]:[Details]])-ROW(Table1[[#Headers],[Details]])),COLUMNS($C$10:V29))),"")</f>
        <v/>
      </c>
      <c r="W30" t="str">
        <f>IF(COLUMNS($C$10:W29)&lt;=$A30,INDEX(Table1[[PARTICULAR]:[PARTICULAR]],_xlfn.AGGREGATE(15,3,(Table1[[#This Row],[Details]:[Details]]=$B30)/(Table1[[#This Row],[Details]:[Details]]=$B30)*(ROW(Table1[[Details]:[Details]])-ROW(Table1[[#Headers],[Details]])),COLUMNS($C$10:W29))),"")</f>
        <v/>
      </c>
      <c r="X30" t="str">
        <f>IF(COLUMNS($C$10:X29)&lt;=$A30,INDEX(Table1[[PARTICULAR]:[PARTICULAR]],_xlfn.AGGREGATE(15,3,(Table1[[#This Row],[Details]:[Details]]=$B30)/(Table1[[#This Row],[Details]:[Details]]=$B30)*(ROW(Table1[[Details]:[Details]])-ROW(Table1[[#Headers],[Details]])),COLUMNS($C$10:X29))),"")</f>
        <v/>
      </c>
      <c r="Y30" t="str">
        <f>IF(COLUMNS($C$10:Y29)&lt;=$A30,INDEX(Table1[[PARTICULAR]:[PARTICULAR]],_xlfn.AGGREGATE(15,3,(Table1[[#This Row],[Details]:[Details]]=$B30)/(Table1[[#This Row],[Details]:[Details]]=$B30)*(ROW(Table1[[Details]:[Details]])-ROW(Table1[[#Headers],[Details]])),COLUMNS($C$10:Y29))),"")</f>
        <v/>
      </c>
      <c r="Z30" t="str">
        <f>IF(COLUMNS($C$10:Z29)&lt;=$A30,INDEX(Table1[[PARTICULAR]:[PARTICULAR]],_xlfn.AGGREGATE(15,3,(Table1[[#This Row],[Details]:[Details]]=$B30)/(Table1[[#This Row],[Details]:[Details]]=$B30)*(ROW(Table1[[Details]:[Details]])-ROW(Table1[[#Headers],[Details]])),COLUMNS($C$10:Z29))),"")</f>
        <v/>
      </c>
      <c r="AA30" t="str">
        <f>IF(COLUMNS($C$10:AA29)&lt;=$A30,INDEX(Table1[[PARTICULAR]:[PARTICULAR]],_xlfn.AGGREGATE(15,3,(Table1[[#This Row],[Details]:[Details]]=$B30)/(Table1[[#This Row],[Details]:[Details]]=$B30)*(ROW(Table1[[Details]:[Details]])-ROW(Table1[[#Headers],[Details]])),COLUMNS($C$10:AA29))),"")</f>
        <v/>
      </c>
      <c r="AB30" t="str">
        <f>IF(COLUMNS($C$10:AB29)&lt;=$A30,INDEX(Table1[[PARTICULAR]:[PARTICULAR]],_xlfn.AGGREGATE(15,3,(Table1[[#This Row],[Details]:[Details]]=$B30)/(Table1[[#This Row],[Details]:[Details]]=$B30)*(ROW(Table1[[Details]:[Details]])-ROW(Table1[[#Headers],[Details]])),COLUMNS($C$10:AB29))),"")</f>
        <v/>
      </c>
      <c r="AC30" t="str">
        <f>IF(COLUMNS($C$10:AC29)&lt;=$A30,INDEX(Table1[[PARTICULAR]:[PARTICULAR]],_xlfn.AGGREGATE(15,3,(Table1[[#This Row],[Details]:[Details]]=$B30)/(Table1[[#This Row],[Details]:[Details]]=$B30)*(ROW(Table1[[Details]:[Details]])-ROW(Table1[[#Headers],[Details]])),COLUMNS($C$10:AC29))),"")</f>
        <v/>
      </c>
      <c r="AD30" t="str">
        <f>IF(COLUMNS($C$10:AD29)&lt;=$A30,INDEX(Table1[[PARTICULAR]:[PARTICULAR]],_xlfn.AGGREGATE(15,3,(Table1[[#This Row],[Details]:[Details]]=$B30)/(Table1[[#This Row],[Details]:[Details]]=$B30)*(ROW(Table1[[Details]:[Details]])-ROW(Table1[[#Headers],[Details]])),COLUMNS($C$10:AD29))),"")</f>
        <v/>
      </c>
      <c r="AE30" t="str">
        <f>IF(COLUMNS($C$10:AE29)&lt;=$A30,INDEX(Table1[[PARTICULAR]:[PARTICULAR]],_xlfn.AGGREGATE(15,3,(Table1[[#This Row],[Details]:[Details]]=$B30)/(Table1[[#This Row],[Details]:[Details]]=$B30)*(ROW(Table1[[Details]:[Details]])-ROW(Table1[[#Headers],[Details]])),COLUMNS($C$10:AE29))),"")</f>
        <v/>
      </c>
      <c r="AF30" t="str">
        <f>IF(COLUMNS($C$10:AF29)&lt;=$A30,INDEX(Table1[[PARTICULAR]:[PARTICULAR]],_xlfn.AGGREGATE(15,3,(Table1[[#This Row],[Details]:[Details]]=$B30)/(Table1[[#This Row],[Details]:[Details]]=$B30)*(ROW(Table1[[Details]:[Details]])-ROW(Table1[[#Headers],[Details]])),COLUMNS($C$10:AF29))),"")</f>
        <v/>
      </c>
      <c r="AG30" t="str">
        <f>IF(COLUMNS($C$10:AG29)&lt;=$A30,INDEX(Table1[[PARTICULAR]:[PARTICULAR]],_xlfn.AGGREGATE(15,3,(Table1[[#This Row],[Details]:[Details]]=$B30)/(Table1[[#This Row],[Details]:[Details]]=$B30)*(ROW(Table1[[Details]:[Details]])-ROW(Table1[[#Headers],[Details]])),COLUMNS($C$10:AG29))),"")</f>
        <v/>
      </c>
      <c r="AH30" t="str">
        <f>IF(COLUMNS($C$10:AH29)&lt;=$A30,INDEX(Table1[[PARTICULAR]:[PARTICULAR]],_xlfn.AGGREGATE(15,3,(Table1[[#This Row],[Details]:[Details]]=$B30)/(Table1[[#This Row],[Details]:[Details]]=$B30)*(ROW(Table1[[Details]:[Details]])-ROW(Table1[[#Headers],[Details]])),COLUMNS($C$10:AH29))),"")</f>
        <v/>
      </c>
      <c r="AI30" t="str">
        <f>IF(COLUMNS($C$10:AI29)&lt;=$A30,INDEX(Table1[[PARTICULAR]:[PARTICULAR]],_xlfn.AGGREGATE(15,3,(Table1[[#This Row],[Details]:[Details]]=$B30)/(Table1[[#This Row],[Details]:[Details]]=$B30)*(ROW(Table1[[Details]:[Details]])-ROW(Table1[[#Headers],[Details]])),COLUMNS($C$10:AI29))),"")</f>
        <v/>
      </c>
      <c r="AJ30" t="str">
        <f>IF(COLUMNS($C$10:AJ29)&lt;=$A30,INDEX(Table1[[PARTICULAR]:[PARTICULAR]],_xlfn.AGGREGATE(15,3,(Table1[[#This Row],[Details]:[Details]]=$B30)/(Table1[[#This Row],[Details]:[Details]]=$B30)*(ROW(Table1[[Details]:[Details]])-ROW(Table1[[#Headers],[Details]])),COLUMNS($C$10:AJ29))),"")</f>
        <v/>
      </c>
      <c r="AK30" t="str">
        <f>IF(COLUMNS($C$10:AK29)&lt;=$A30,INDEX(Table1[[PARTICULAR]:[PARTICULAR]],_xlfn.AGGREGATE(15,3,(Table1[[#This Row],[Details]:[Details]]=$B30)/(Table1[[#This Row],[Details]:[Details]]=$B30)*(ROW(Table1[[Details]:[Details]])-ROW(Table1[[#Headers],[Details]])),COLUMNS($C$10:AK29))),"")</f>
        <v/>
      </c>
      <c r="AL30" t="str">
        <f>IF(COLUMNS($C$10:AL29)&lt;=$A30,INDEX(Table1[[PARTICULAR]:[PARTICULAR]],_xlfn.AGGREGATE(15,3,(Table1[[#This Row],[Details]:[Details]]=$B30)/(Table1[[#This Row],[Details]:[Details]]=$B30)*(ROW(Table1[[Details]:[Details]])-ROW(Table1[[#Headers],[Details]])),COLUMNS($C$10:AL29))),"")</f>
        <v/>
      </c>
      <c r="AM30" t="str">
        <f>IF(COLUMNS($C$10:AM29)&lt;=$A30,INDEX(Table1[[PARTICULAR]:[PARTICULAR]],_xlfn.AGGREGATE(15,3,(Table1[[#This Row],[Details]:[Details]]=$B30)/(Table1[[#This Row],[Details]:[Details]]=$B30)*(ROW(Table1[[Details]:[Details]])-ROW(Table1[[#Headers],[Details]])),COLUMNS($C$10:AM29))),"")</f>
        <v/>
      </c>
      <c r="AN30" t="str">
        <f>IF(COLUMNS($C$10:AN29)&lt;=$A30,INDEX(Table1[[PARTICULAR]:[PARTICULAR]],_xlfn.AGGREGATE(15,3,(Table1[[#This Row],[Details]:[Details]]=$B30)/(Table1[[#This Row],[Details]:[Details]]=$B30)*(ROW(Table1[[Details]:[Details]])-ROW(Table1[[#Headers],[Details]])),COLUMNS($C$10:AN29))),"")</f>
        <v/>
      </c>
      <c r="AO30" t="str">
        <f>IF(COLUMNS($C$10:AO29)&lt;=$A30,INDEX(Table1[[PARTICULAR]:[PARTICULAR]],_xlfn.AGGREGATE(15,3,(Table1[[#This Row],[Details]:[Details]]=$B30)/(Table1[[#This Row],[Details]:[Details]]=$B30)*(ROW(Table1[[Details]:[Details]])-ROW(Table1[[#Headers],[Details]])),COLUMNS($C$10:AO29))),"")</f>
        <v/>
      </c>
      <c r="AP30" t="str">
        <f>IF(COLUMNS($C$10:AP29)&lt;=$A30,INDEX(Table1[[PARTICULAR]:[PARTICULAR]],_xlfn.AGGREGATE(15,3,(Table1[[#This Row],[Details]:[Details]]=$B30)/(Table1[[#This Row],[Details]:[Details]]=$B30)*(ROW(Table1[[Details]:[Details]])-ROW(Table1[[#Headers],[Details]])),COLUMNS($C$10:AP29))),"")</f>
        <v/>
      </c>
      <c r="AQ30" t="str">
        <f>IF(COLUMNS($C$10:AQ29)&lt;=$A30,INDEX(Table1[[PARTICULAR]:[PARTICULAR]],_xlfn.AGGREGATE(15,3,(Table1[[#This Row],[Details]:[Details]]=$B30)/(Table1[[#This Row],[Details]:[Details]]=$B30)*(ROW(Table1[[Details]:[Details]])-ROW(Table1[[#Headers],[Details]])),COLUMNS($C$10:AQ29))),"")</f>
        <v/>
      </c>
      <c r="AR30" t="str">
        <f>IF(COLUMNS($C$10:AR29)&lt;=$A30,INDEX(Table1[[PARTICULAR]:[PARTICULAR]],_xlfn.AGGREGATE(15,3,(Table1[[#This Row],[Details]:[Details]]=$B30)/(Table1[[#This Row],[Details]:[Details]]=$B30)*(ROW(Table1[[Details]:[Details]])-ROW(Table1[[#Headers],[Details]])),COLUMNS($C$10:AR29))),"")</f>
        <v/>
      </c>
      <c r="AS30" t="str">
        <f>IF(COLUMNS($C$10:AS29)&lt;=$A30,INDEX(Table1[[PARTICULAR]:[PARTICULAR]],_xlfn.AGGREGATE(15,3,(Table1[[#This Row],[Details]:[Details]]=$B30)/(Table1[[#This Row],[Details]:[Details]]=$B30)*(ROW(Table1[[Details]:[Details]])-ROW(Table1[[#Headers],[Details]])),COLUMNS($C$10:AS29))),"")</f>
        <v/>
      </c>
      <c r="AT30" t="str">
        <f>IF(COLUMNS($C$10:AT29)&lt;=$A30,INDEX(Table1[[PARTICULAR]:[PARTICULAR]],_xlfn.AGGREGATE(15,3,(Table1[[#This Row],[Details]:[Details]]=$B30)/(Table1[[#This Row],[Details]:[Details]]=$B30)*(ROW(Table1[[Details]:[Details]])-ROW(Table1[[#Headers],[Details]])),COLUMNS($C$10:AT29))),"")</f>
        <v/>
      </c>
      <c r="AU30" t="str">
        <f>IF(COLUMNS($C$10:AU29)&lt;=$A30,INDEX(Table1[[PARTICULAR]:[PARTICULAR]],_xlfn.AGGREGATE(15,3,(Table1[[#This Row],[Details]:[Details]]=$B30)/(Table1[[#This Row],[Details]:[Details]]=$B30)*(ROW(Table1[[Details]:[Details]])-ROW(Table1[[#Headers],[Details]])),COLUMNS($C$10:AU29))),"")</f>
        <v/>
      </c>
      <c r="AV30" t="str">
        <f>IF(COLUMNS($C$10:AV29)&lt;=$A30,INDEX(Table1[[PARTICULAR]:[PARTICULAR]],_xlfn.AGGREGATE(15,3,(Table1[[#This Row],[Details]:[Details]]=$B30)/(Table1[[#This Row],[Details]:[Details]]=$B30)*(ROW(Table1[[Details]:[Details]])-ROW(Table1[[#Headers],[Details]])),COLUMNS($C$10:AV29))),"")</f>
        <v/>
      </c>
      <c r="AW30" t="str">
        <f>IF(COLUMNS($C$10:AW29)&lt;=$A30,INDEX(Table1[[PARTICULAR]:[PARTICULAR]],_xlfn.AGGREGATE(15,3,(Table1[[#This Row],[Details]:[Details]]=$B30)/(Table1[[#This Row],[Details]:[Details]]=$B30)*(ROW(Table1[[Details]:[Details]])-ROW(Table1[[#Headers],[Details]])),COLUMNS($C$10:AW29))),"")</f>
        <v/>
      </c>
      <c r="AX30" t="str">
        <f>IF(COLUMNS($C$10:AX29)&lt;=$A30,INDEX(Table1[[PARTICULAR]:[PARTICULAR]],_xlfn.AGGREGATE(15,3,(Table1[[#This Row],[Details]:[Details]]=$B30)/(Table1[[#This Row],[Details]:[Details]]=$B30)*(ROW(Table1[[Details]:[Details]])-ROW(Table1[[#Headers],[Details]])),COLUMNS($C$10:AX29))),"")</f>
        <v/>
      </c>
      <c r="AY30" t="str">
        <f>IF(COLUMNS($C$10:AY29)&lt;=$A30,INDEX(Table1[[PARTICULAR]:[PARTICULAR]],_xlfn.AGGREGATE(15,3,(Table1[[#This Row],[Details]:[Details]]=$B30)/(Table1[[#This Row],[Details]:[Details]]=$B30)*(ROW(Table1[[Details]:[Details]])-ROW(Table1[[#Headers],[Details]])),COLUMNS($C$10:AY29))),"")</f>
        <v/>
      </c>
      <c r="AZ30" t="str">
        <f>IF(COLUMNS($C$10:AZ29)&lt;=$A30,INDEX(Table1[[PARTICULAR]:[PARTICULAR]],_xlfn.AGGREGATE(15,3,(Table1[[#This Row],[Details]:[Details]]=$B30)/(Table1[[#This Row],[Details]:[Details]]=$B30)*(ROW(Table1[[Details]:[Details]])-ROW(Table1[[#Headers],[Details]])),COLUMNS($C$10:AZ29))),"")</f>
        <v/>
      </c>
      <c r="BA30" t="str">
        <f>IF(COLUMNS($C$10:BA29)&lt;=$A30,INDEX(Table1[[PARTICULAR]:[PARTICULAR]],_xlfn.AGGREGATE(15,3,(Table1[[#This Row],[Details]:[Details]]=$B30)/(Table1[[#This Row],[Details]:[Details]]=$B30)*(ROW(Table1[[Details]:[Details]])-ROW(Table1[[#Headers],[Details]])),COLUMNS($C$10:BA29))),"")</f>
        <v/>
      </c>
      <c r="BB30" t="str">
        <f>IF(COLUMNS($C$10:BB29)&lt;=$A30,INDEX(Table1[[PARTICULAR]:[PARTICULAR]],_xlfn.AGGREGATE(15,3,(Table1[[#This Row],[Details]:[Details]]=$B30)/(Table1[[#This Row],[Details]:[Details]]=$B30)*(ROW(Table1[[Details]:[Details]])-ROW(Table1[[#Headers],[Details]])),COLUMNS($C$10:BB29))),"")</f>
        <v/>
      </c>
      <c r="BC30" t="str">
        <f>IF(COLUMNS($C$10:BC29)&lt;=$A30,INDEX(Table1[[PARTICULAR]:[PARTICULAR]],_xlfn.AGGREGATE(15,3,(Table1[[#This Row],[Details]:[Details]]=$B30)/(Table1[[#This Row],[Details]:[Details]]=$B30)*(ROW(Table1[[Details]:[Details]])-ROW(Table1[[#Headers],[Details]])),COLUMNS($C$10:BC29))),"")</f>
        <v/>
      </c>
      <c r="BD30" t="str">
        <f>IF(COLUMNS($C$10:BD29)&lt;=$A30,INDEX(Table1[[PARTICULAR]:[PARTICULAR]],_xlfn.AGGREGATE(15,3,(Table1[[#This Row],[Details]:[Details]]=$B30)/(Table1[[#This Row],[Details]:[Details]]=$B30)*(ROW(Table1[[Details]:[Details]])-ROW(Table1[[#Headers],[Details]])),COLUMNS($C$10:BD29))),"")</f>
        <v/>
      </c>
      <c r="BE30" t="str">
        <f>IF(COLUMNS($C$10:BE29)&lt;=$A30,INDEX(Table1[[PARTICULAR]:[PARTICULAR]],_xlfn.AGGREGATE(15,3,(Table1[[#This Row],[Details]:[Details]]=$B30)/(Table1[[#This Row],[Details]:[Details]]=$B30)*(ROW(Table1[[Details]:[Details]])-ROW(Table1[[#Headers],[Details]])),COLUMNS($C$10:BE29))),"")</f>
        <v/>
      </c>
      <c r="BF30" t="str">
        <f>IF(COLUMNS($C$10:BF29)&lt;=$A30,INDEX(Table1[[PARTICULAR]:[PARTICULAR]],_xlfn.AGGREGATE(15,3,(Table1[[#This Row],[Details]:[Details]]=$B30)/(Table1[[#This Row],[Details]:[Details]]=$B30)*(ROW(Table1[[Details]:[Details]])-ROW(Table1[[#Headers],[Details]])),COLUMNS($C$10:BF29))),"")</f>
        <v/>
      </c>
      <c r="BG30" t="str">
        <f>IF(COLUMNS($C$10:BG29)&lt;=$A30,INDEX(Table1[[PARTICULAR]:[PARTICULAR]],_xlfn.AGGREGATE(15,3,(Table1[[#This Row],[Details]:[Details]]=$B30)/(Table1[[#This Row],[Details]:[Details]]=$B30)*(ROW(Table1[[Details]:[Details]])-ROW(Table1[[#Headers],[Details]])),COLUMNS($C$10:BG29))),"")</f>
        <v/>
      </c>
      <c r="BH30" t="str">
        <f>IF(COLUMNS($C$10:BH29)&lt;=$A30,INDEX(Table1[[PARTICULAR]:[PARTICULAR]],_xlfn.AGGREGATE(15,3,(Table1[[#This Row],[Details]:[Details]]=$B30)/(Table1[[#This Row],[Details]:[Details]]=$B30)*(ROW(Table1[[Details]:[Details]])-ROW(Table1[[#Headers],[Details]])),COLUMNS($C$10:BH29))),"")</f>
        <v/>
      </c>
      <c r="BI30" t="str">
        <f>IF(COLUMNS($C$10:BI29)&lt;=$A30,INDEX(Table1[[PARTICULAR]:[PARTICULAR]],_xlfn.AGGREGATE(15,3,(Table1[[#This Row],[Details]:[Details]]=$B30)/(Table1[[#This Row],[Details]:[Details]]=$B30)*(ROW(Table1[[Details]:[Details]])-ROW(Table1[[#Headers],[Details]])),COLUMNS($C$10:BI29))),"")</f>
        <v/>
      </c>
      <c r="BJ30" t="str">
        <f>IF(COLUMNS($C$10:BJ29)&lt;=$A30,INDEX(Table1[[PARTICULAR]:[PARTICULAR]],_xlfn.AGGREGATE(15,3,(Table1[[#This Row],[Details]:[Details]]=$B30)/(Table1[[#This Row],[Details]:[Details]]=$B30)*(ROW(Table1[[Details]:[Details]])-ROW(Table1[[#Headers],[Details]])),COLUMNS($C$10:BJ29))),"")</f>
        <v/>
      </c>
      <c r="BK30" t="str">
        <f>IF(COLUMNS($C$10:BK29)&lt;=$A30,INDEX(Table1[[PARTICULAR]:[PARTICULAR]],_xlfn.AGGREGATE(15,3,(Table1[[#This Row],[Details]:[Details]]=$B30)/(Table1[[#This Row],[Details]:[Details]]=$B30)*(ROW(Table1[[Details]:[Details]])-ROW(Table1[[#Headers],[Details]])),COLUMNS($C$10:BK29))),"")</f>
        <v/>
      </c>
      <c r="BL30" t="str">
        <f>IF(COLUMNS($C$10:BL29)&lt;=$A30,INDEX(Table1[[PARTICULAR]:[PARTICULAR]],_xlfn.AGGREGATE(15,3,(Table1[[#This Row],[Details]:[Details]]=$B30)/(Table1[[#This Row],[Details]:[Details]]=$B30)*(ROW(Table1[[Details]:[Details]])-ROW(Table1[[#Headers],[Details]])),COLUMNS($C$10:BL29))),"")</f>
        <v/>
      </c>
      <c r="BM30" t="str">
        <f>IF(COLUMNS($C$10:BM29)&lt;=$A30,INDEX(Table1[[PARTICULAR]:[PARTICULAR]],_xlfn.AGGREGATE(15,3,(Table1[[#This Row],[Details]:[Details]]=$B30)/(Table1[[#This Row],[Details]:[Details]]=$B30)*(ROW(Table1[[Details]:[Details]])-ROW(Table1[[#Headers],[Details]])),COLUMNS($C$10:BM29))),"")</f>
        <v/>
      </c>
      <c r="BN30" t="str">
        <f>IF(COLUMNS($C$10:BN29)&lt;=$A30,INDEX(Table1[[PARTICULAR]:[PARTICULAR]],_xlfn.AGGREGATE(15,3,(Table1[[#This Row],[Details]:[Details]]=$B30)/(Table1[[#This Row],[Details]:[Details]]=$B30)*(ROW(Table1[[Details]:[Details]])-ROW(Table1[[#Headers],[Details]])),COLUMNS($C$10:BN29))),"")</f>
        <v/>
      </c>
      <c r="BO30" t="str">
        <f>IF(COLUMNS($C$10:BO29)&lt;=$A30,INDEX(Table1[[PARTICULAR]:[PARTICULAR]],_xlfn.AGGREGATE(15,3,(Table1[[#This Row],[Details]:[Details]]=$B30)/(Table1[[#This Row],[Details]:[Details]]=$B30)*(ROW(Table1[[Details]:[Details]])-ROW(Table1[[#Headers],[Details]])),COLUMNS($C$10:BO29))),"")</f>
        <v/>
      </c>
      <c r="BP30" t="str">
        <f>IF(COLUMNS($C$10:BP29)&lt;=$A30,INDEX(Table1[[PARTICULAR]:[PARTICULAR]],_xlfn.AGGREGATE(15,3,(Table1[[#This Row],[Details]:[Details]]=$B30)/(Table1[[#This Row],[Details]:[Details]]=$B30)*(ROW(Table1[[Details]:[Details]])-ROW(Table1[[#Headers],[Details]])),COLUMNS($C$10:BP29))),"")</f>
        <v/>
      </c>
      <c r="BQ30" t="str">
        <f>IF(COLUMNS($C$10:BQ29)&lt;=$A30,INDEX(Table1[[PARTICULAR]:[PARTICULAR]],_xlfn.AGGREGATE(15,3,(Table1[[#This Row],[Details]:[Details]]=$B30)/(Table1[[#This Row],[Details]:[Details]]=$B30)*(ROW(Table1[[Details]:[Details]])-ROW(Table1[[#Headers],[Details]])),COLUMNS($C$10:BQ29))),"")</f>
        <v/>
      </c>
      <c r="BR30" t="str">
        <f>IF(COLUMNS($C$10:BR29)&lt;=$A30,INDEX(Table1[[PARTICULAR]:[PARTICULAR]],_xlfn.AGGREGATE(15,3,(Table1[[#This Row],[Details]:[Details]]=$B30)/(Table1[[#This Row],[Details]:[Details]]=$B30)*(ROW(Table1[[Details]:[Details]])-ROW(Table1[[#Headers],[Details]])),COLUMNS($C$10:BR29))),"")</f>
        <v/>
      </c>
      <c r="BS30" t="str">
        <f>IF(COLUMNS($C$10:BS29)&lt;=$A30,INDEX(Table1[[PARTICULAR]:[PARTICULAR]],_xlfn.AGGREGATE(15,3,(Table1[[#This Row],[Details]:[Details]]=$B30)/(Table1[[#This Row],[Details]:[Details]]=$B30)*(ROW(Table1[[Details]:[Details]])-ROW(Table1[[#Headers],[Details]])),COLUMNS($C$10:BS29))),"")</f>
        <v/>
      </c>
      <c r="BT30" t="str">
        <f>IF(COLUMNS($C$10:BT29)&lt;=$A30,INDEX(Table1[[PARTICULAR]:[PARTICULAR]],_xlfn.AGGREGATE(15,3,(Table1[[#This Row],[Details]:[Details]]=$B30)/(Table1[[#This Row],[Details]:[Details]]=$B30)*(ROW(Table1[[Details]:[Details]])-ROW(Table1[[#Headers],[Details]])),COLUMNS($C$10:BT29))),"")</f>
        <v/>
      </c>
      <c r="BU30" t="str">
        <f>IF(COLUMNS($C$10:BU29)&lt;=$A30,INDEX(Table1[[PARTICULAR]:[PARTICULAR]],_xlfn.AGGREGATE(15,3,(Table1[[#This Row],[Details]:[Details]]=$B30)/(Table1[[#This Row],[Details]:[Details]]=$B30)*(ROW(Table1[[Details]:[Details]])-ROW(Table1[[#Headers],[Details]])),COLUMNS($C$10:BU29))),"")</f>
        <v/>
      </c>
      <c r="BV30" t="str">
        <f>IF(COLUMNS($C$10:BV29)&lt;=$A30,INDEX(Table1[[PARTICULAR]:[PARTICULAR]],_xlfn.AGGREGATE(15,3,(Table1[[#This Row],[Details]:[Details]]=$B30)/(Table1[[#This Row],[Details]:[Details]]=$B30)*(ROW(Table1[[Details]:[Details]])-ROW(Table1[[#Headers],[Details]])),COLUMNS($C$10:BV29))),"")</f>
        <v/>
      </c>
      <c r="BW30" t="str">
        <f>IF(COLUMNS($C$10:BW29)&lt;=$A30,INDEX(Table1[[PARTICULAR]:[PARTICULAR]],_xlfn.AGGREGATE(15,3,(Table1[[#This Row],[Details]:[Details]]=$B30)/(Table1[[#This Row],[Details]:[Details]]=$B30)*(ROW(Table1[[Details]:[Details]])-ROW(Table1[[#Headers],[Details]])),COLUMNS($C$10:BW29))),"")</f>
        <v/>
      </c>
      <c r="BX30" t="str">
        <f>IF(COLUMNS($C$10:BX29)&lt;=$A30,INDEX(Table1[[PARTICULAR]:[PARTICULAR]],_xlfn.AGGREGATE(15,3,(Table1[[#This Row],[Details]:[Details]]=$B30)/(Table1[[#This Row],[Details]:[Details]]=$B30)*(ROW(Table1[[Details]:[Details]])-ROW(Table1[[#Headers],[Details]])),COLUMNS($C$10:BX29))),"")</f>
        <v/>
      </c>
      <c r="BY30" t="str">
        <f>IF(COLUMNS($C$10:BY29)&lt;=$A30,INDEX(Table1[[PARTICULAR]:[PARTICULAR]],_xlfn.AGGREGATE(15,3,(Table1[[#This Row],[Details]:[Details]]=$B30)/(Table1[[#This Row],[Details]:[Details]]=$B30)*(ROW(Table1[[Details]:[Details]])-ROW(Table1[[#Headers],[Details]])),COLUMNS($C$10:BY29))),"")</f>
        <v/>
      </c>
      <c r="BZ30" t="str">
        <f>IF(COLUMNS($C$10:BZ29)&lt;=$A30,INDEX(Table1[[PARTICULAR]:[PARTICULAR]],_xlfn.AGGREGATE(15,3,(Table1[[#This Row],[Details]:[Details]]=$B30)/(Table1[[#This Row],[Details]:[Details]]=$B30)*(ROW(Table1[[Details]:[Details]])-ROW(Table1[[#Headers],[Details]])),COLUMNS($C$10:BZ29))),"")</f>
        <v/>
      </c>
      <c r="CA30" t="str">
        <f>IF(COLUMNS($C$10:CA29)&lt;=$A30,INDEX(Table1[[PARTICULAR]:[PARTICULAR]],_xlfn.AGGREGATE(15,3,(Table1[[#This Row],[Details]:[Details]]=$B30)/(Table1[[#This Row],[Details]:[Details]]=$B30)*(ROW(Table1[[Details]:[Details]])-ROW(Table1[[#Headers],[Details]])),COLUMNS($C$10:CA29))),"")</f>
        <v/>
      </c>
      <c r="CB30" t="str">
        <f>IF(COLUMNS($C$10:CB29)&lt;=$A30,INDEX(Table1[[PARTICULAR]:[PARTICULAR]],_xlfn.AGGREGATE(15,3,(Table1[[#This Row],[Details]:[Details]]=$B30)/(Table1[[#This Row],[Details]:[Details]]=$B30)*(ROW(Table1[[Details]:[Details]])-ROW(Table1[[#Headers],[Details]])),COLUMNS($C$10:CB29))),"")</f>
        <v/>
      </c>
    </row>
    <row r="31" spans="1:80">
      <c r="A31">
        <f>COUNTIF(Table1[Details],B31)</f>
        <v>1</v>
      </c>
      <c r="B31" s="97" t="str">
        <f>IFERROR(INDEX(Table1[Details],MATCH(0,INDEX(COUNTIF($B$10:B30,Table1[Details]),),0)),"")</f>
        <v>Content creation</v>
      </c>
      <c r="C31" t="str">
        <f>IF(COLUMNS($C$10:C30)&lt;=$A31,INDEX(Table1[[PARTICULAR]:[PARTICULAR]],_xlfn.AGGREGATE(15,3,(Table1[[#This Row],[Details]:[Details]]=$B31)/(Table1[[#This Row],[Details]:[Details]]=$B31)*(ROW(Table1[[Details]:[Details]])-ROW(Table1[[#Headers],[Details]])),COLUMNS($C$10:C30))),"")</f>
        <v>CONTENT CREATION</v>
      </c>
      <c r="D31" t="str">
        <f>IF(COLUMNS($C$10:D30)&lt;=$A31,INDEX(Table1[[PARTICULAR]:[PARTICULAR]],_xlfn.AGGREGATE(15,3,(Table1[[#This Row],[Details]:[Details]]=$B31)/(Table1[[#This Row],[Details]:[Details]]=$B31)*(ROW(Table1[[Details]:[Details]])-ROW(Table1[[#Headers],[Details]])),COLUMNS($C$10:D30))),"")</f>
        <v/>
      </c>
      <c r="E31" t="str">
        <f>IF(COLUMNS($C$10:E30)&lt;=$A31,INDEX(Table1[[PARTICULAR]:[PARTICULAR]],_xlfn.AGGREGATE(15,3,(Table1[[#This Row],[Details]:[Details]]=$B31)/(Table1[[#This Row],[Details]:[Details]]=$B31)*(ROW(Table1[[Details]:[Details]])-ROW(Table1[[#Headers],[Details]])),COLUMNS($C$10:E30))),"")</f>
        <v/>
      </c>
      <c r="F31" t="str">
        <f>IF(COLUMNS($C$10:F30)&lt;=$A31,INDEX(Table1[[PARTICULAR]:[PARTICULAR]],_xlfn.AGGREGATE(15,3,(Table1[[#This Row],[Details]:[Details]]=$B31)/(Table1[[#This Row],[Details]:[Details]]=$B31)*(ROW(Table1[[Details]:[Details]])-ROW(Table1[[#Headers],[Details]])),COLUMNS($C$10:F30))),"")</f>
        <v/>
      </c>
      <c r="G31" t="str">
        <f>IF(COLUMNS($C$10:G30)&lt;=$A31,INDEX(Table1[[PARTICULAR]:[PARTICULAR]],_xlfn.AGGREGATE(15,3,(Table1[[#This Row],[Details]:[Details]]=$B31)/(Table1[[#This Row],[Details]:[Details]]=$B31)*(ROW(Table1[[Details]:[Details]])-ROW(Table1[[#Headers],[Details]])),COLUMNS($C$10:G30))),"")</f>
        <v/>
      </c>
      <c r="H31" t="str">
        <f>IF(COLUMNS($C$10:H30)&lt;=$A31,INDEX(Table1[[PARTICULAR]:[PARTICULAR]],_xlfn.AGGREGATE(15,3,(Table1[[#This Row],[Details]:[Details]]=$B31)/(Table1[[#This Row],[Details]:[Details]]=$B31)*(ROW(Table1[[Details]:[Details]])-ROW(Table1[[#Headers],[Details]])),COLUMNS($C$10:H30))),"")</f>
        <v/>
      </c>
      <c r="I31" t="str">
        <f>IF(COLUMNS($C$10:I30)&lt;=$A31,INDEX(Table1[[PARTICULAR]:[PARTICULAR]],_xlfn.AGGREGATE(15,3,(Table1[[#This Row],[Details]:[Details]]=$B31)/(Table1[[#This Row],[Details]:[Details]]=$B31)*(ROW(Table1[[Details]:[Details]])-ROW(Table1[[#Headers],[Details]])),COLUMNS($C$10:I30))),"")</f>
        <v/>
      </c>
      <c r="J31" t="str">
        <f>IF(COLUMNS($C$10:J30)&lt;=$A31,INDEX(Table1[[PARTICULAR]:[PARTICULAR]],_xlfn.AGGREGATE(15,3,(Table1[[#This Row],[Details]:[Details]]=$B31)/(Table1[[#This Row],[Details]:[Details]]=$B31)*(ROW(Table1[[Details]:[Details]])-ROW(Table1[[#Headers],[Details]])),COLUMNS($C$10:J30))),"")</f>
        <v/>
      </c>
      <c r="K31" t="str">
        <f>IF(COLUMNS($C$10:K30)&lt;=$A31,INDEX(Table1[[PARTICULAR]:[PARTICULAR]],_xlfn.AGGREGATE(15,3,(Table1[[#This Row],[Details]:[Details]]=$B31)/(Table1[[#This Row],[Details]:[Details]]=$B31)*(ROW(Table1[[Details]:[Details]])-ROW(Table1[[#Headers],[Details]])),COLUMNS($C$10:K30))),"")</f>
        <v/>
      </c>
      <c r="L31" t="str">
        <f>IF(COLUMNS($C$10:L30)&lt;=$A31,INDEX(Table1[[PARTICULAR]:[PARTICULAR]],_xlfn.AGGREGATE(15,3,(Table1[[#This Row],[Details]:[Details]]=$B31)/(Table1[[#This Row],[Details]:[Details]]=$B31)*(ROW(Table1[[Details]:[Details]])-ROW(Table1[[#Headers],[Details]])),COLUMNS($C$10:L30))),"")</f>
        <v/>
      </c>
      <c r="M31" t="str">
        <f>IF(COLUMNS($C$10:M30)&lt;=$A31,INDEX(Table1[[PARTICULAR]:[PARTICULAR]],_xlfn.AGGREGATE(15,3,(Table1[[#This Row],[Details]:[Details]]=$B31)/(Table1[[#This Row],[Details]:[Details]]=$B31)*(ROW(Table1[[Details]:[Details]])-ROW(Table1[[#Headers],[Details]])),COLUMNS($C$10:M30))),"")</f>
        <v/>
      </c>
      <c r="N31" t="str">
        <f>IF(COLUMNS($C$10:N30)&lt;=$A31,INDEX(Table1[[PARTICULAR]:[PARTICULAR]],_xlfn.AGGREGATE(15,3,(Table1[[#This Row],[Details]:[Details]]=$B31)/(Table1[[#This Row],[Details]:[Details]]=$B31)*(ROW(Table1[[Details]:[Details]])-ROW(Table1[[#Headers],[Details]])),COLUMNS($C$10:N30))),"")</f>
        <v/>
      </c>
      <c r="O31" t="str">
        <f>IF(COLUMNS($C$10:O30)&lt;=$A31,INDEX(Table1[[PARTICULAR]:[PARTICULAR]],_xlfn.AGGREGATE(15,3,(Table1[[#This Row],[Details]:[Details]]=$B31)/(Table1[[#This Row],[Details]:[Details]]=$B31)*(ROW(Table1[[Details]:[Details]])-ROW(Table1[[#Headers],[Details]])),COLUMNS($C$10:O30))),"")</f>
        <v/>
      </c>
      <c r="P31" t="str">
        <f>IF(COLUMNS($C$10:P30)&lt;=$A31,INDEX(Table1[[PARTICULAR]:[PARTICULAR]],_xlfn.AGGREGATE(15,3,(Table1[[#This Row],[Details]:[Details]]=$B31)/(Table1[[#This Row],[Details]:[Details]]=$B31)*(ROW(Table1[[Details]:[Details]])-ROW(Table1[[#Headers],[Details]])),COLUMNS($C$10:P30))),"")</f>
        <v/>
      </c>
      <c r="Q31" t="str">
        <f>IF(COLUMNS($C$10:Q30)&lt;=$A31,INDEX(Table1[[PARTICULAR]:[PARTICULAR]],_xlfn.AGGREGATE(15,3,(Table1[[#This Row],[Details]:[Details]]=$B31)/(Table1[[#This Row],[Details]:[Details]]=$B31)*(ROW(Table1[[Details]:[Details]])-ROW(Table1[[#Headers],[Details]])),COLUMNS($C$10:Q30))),"")</f>
        <v/>
      </c>
      <c r="R31" t="str">
        <f>IF(COLUMNS($C$10:R30)&lt;=$A31,INDEX(Table1[[PARTICULAR]:[PARTICULAR]],_xlfn.AGGREGATE(15,3,(Table1[[#This Row],[Details]:[Details]]=$B31)/(Table1[[#This Row],[Details]:[Details]]=$B31)*(ROW(Table1[[Details]:[Details]])-ROW(Table1[[#Headers],[Details]])),COLUMNS($C$10:R30))),"")</f>
        <v/>
      </c>
      <c r="S31" t="str">
        <f>IF(COLUMNS($C$10:S30)&lt;=$A31,INDEX(Table1[[PARTICULAR]:[PARTICULAR]],_xlfn.AGGREGATE(15,3,(Table1[[#This Row],[Details]:[Details]]=$B31)/(Table1[[#This Row],[Details]:[Details]]=$B31)*(ROW(Table1[[Details]:[Details]])-ROW(Table1[[#Headers],[Details]])),COLUMNS($C$10:S30))),"")</f>
        <v/>
      </c>
      <c r="T31" t="str">
        <f>IF(COLUMNS($C$10:T30)&lt;=$A31,INDEX(Table1[[PARTICULAR]:[PARTICULAR]],_xlfn.AGGREGATE(15,3,(Table1[[#This Row],[Details]:[Details]]=$B31)/(Table1[[#This Row],[Details]:[Details]]=$B31)*(ROW(Table1[[Details]:[Details]])-ROW(Table1[[#Headers],[Details]])),COLUMNS($C$10:T30))),"")</f>
        <v/>
      </c>
      <c r="U31" t="str">
        <f>IF(COLUMNS($C$10:U30)&lt;=$A31,INDEX(Table1[[PARTICULAR]:[PARTICULAR]],_xlfn.AGGREGATE(15,3,(Table1[[#This Row],[Details]:[Details]]=$B31)/(Table1[[#This Row],[Details]:[Details]]=$B31)*(ROW(Table1[[Details]:[Details]])-ROW(Table1[[#Headers],[Details]])),COLUMNS($C$10:U30))),"")</f>
        <v/>
      </c>
      <c r="V31" t="str">
        <f>IF(COLUMNS($C$10:V30)&lt;=$A31,INDEX(Table1[[PARTICULAR]:[PARTICULAR]],_xlfn.AGGREGATE(15,3,(Table1[[#This Row],[Details]:[Details]]=$B31)/(Table1[[#This Row],[Details]:[Details]]=$B31)*(ROW(Table1[[Details]:[Details]])-ROW(Table1[[#Headers],[Details]])),COLUMNS($C$10:V30))),"")</f>
        <v/>
      </c>
      <c r="W31" t="str">
        <f>IF(COLUMNS($C$10:W30)&lt;=$A31,INDEX(Table1[[PARTICULAR]:[PARTICULAR]],_xlfn.AGGREGATE(15,3,(Table1[[#This Row],[Details]:[Details]]=$B31)/(Table1[[#This Row],[Details]:[Details]]=$B31)*(ROW(Table1[[Details]:[Details]])-ROW(Table1[[#Headers],[Details]])),COLUMNS($C$10:W30))),"")</f>
        <v/>
      </c>
      <c r="X31" t="str">
        <f>IF(COLUMNS($C$10:X30)&lt;=$A31,INDEX(Table1[[PARTICULAR]:[PARTICULAR]],_xlfn.AGGREGATE(15,3,(Table1[[#This Row],[Details]:[Details]]=$B31)/(Table1[[#This Row],[Details]:[Details]]=$B31)*(ROW(Table1[[Details]:[Details]])-ROW(Table1[[#Headers],[Details]])),COLUMNS($C$10:X30))),"")</f>
        <v/>
      </c>
      <c r="Y31" t="str">
        <f>IF(COLUMNS($C$10:Y30)&lt;=$A31,INDEX(Table1[[PARTICULAR]:[PARTICULAR]],_xlfn.AGGREGATE(15,3,(Table1[[#This Row],[Details]:[Details]]=$B31)/(Table1[[#This Row],[Details]:[Details]]=$B31)*(ROW(Table1[[Details]:[Details]])-ROW(Table1[[#Headers],[Details]])),COLUMNS($C$10:Y30))),"")</f>
        <v/>
      </c>
      <c r="Z31" t="str">
        <f>IF(COLUMNS($C$10:Z30)&lt;=$A31,INDEX(Table1[[PARTICULAR]:[PARTICULAR]],_xlfn.AGGREGATE(15,3,(Table1[[#This Row],[Details]:[Details]]=$B31)/(Table1[[#This Row],[Details]:[Details]]=$B31)*(ROW(Table1[[Details]:[Details]])-ROW(Table1[[#Headers],[Details]])),COLUMNS($C$10:Z30))),"")</f>
        <v/>
      </c>
      <c r="AA31" t="str">
        <f>IF(COLUMNS($C$10:AA30)&lt;=$A31,INDEX(Table1[[PARTICULAR]:[PARTICULAR]],_xlfn.AGGREGATE(15,3,(Table1[[#This Row],[Details]:[Details]]=$B31)/(Table1[[#This Row],[Details]:[Details]]=$B31)*(ROW(Table1[[Details]:[Details]])-ROW(Table1[[#Headers],[Details]])),COLUMNS($C$10:AA30))),"")</f>
        <v/>
      </c>
      <c r="AB31" t="str">
        <f>IF(COLUMNS($C$10:AB30)&lt;=$A31,INDEX(Table1[[PARTICULAR]:[PARTICULAR]],_xlfn.AGGREGATE(15,3,(Table1[[#This Row],[Details]:[Details]]=$B31)/(Table1[[#This Row],[Details]:[Details]]=$B31)*(ROW(Table1[[Details]:[Details]])-ROW(Table1[[#Headers],[Details]])),COLUMNS($C$10:AB30))),"")</f>
        <v/>
      </c>
      <c r="AC31" t="str">
        <f>IF(COLUMNS($C$10:AC30)&lt;=$A31,INDEX(Table1[[PARTICULAR]:[PARTICULAR]],_xlfn.AGGREGATE(15,3,(Table1[[#This Row],[Details]:[Details]]=$B31)/(Table1[[#This Row],[Details]:[Details]]=$B31)*(ROW(Table1[[Details]:[Details]])-ROW(Table1[[#Headers],[Details]])),COLUMNS($C$10:AC30))),"")</f>
        <v/>
      </c>
      <c r="AD31" t="str">
        <f>IF(COLUMNS($C$10:AD30)&lt;=$A31,INDEX(Table1[[PARTICULAR]:[PARTICULAR]],_xlfn.AGGREGATE(15,3,(Table1[[#This Row],[Details]:[Details]]=$B31)/(Table1[[#This Row],[Details]:[Details]]=$B31)*(ROW(Table1[[Details]:[Details]])-ROW(Table1[[#Headers],[Details]])),COLUMNS($C$10:AD30))),"")</f>
        <v/>
      </c>
      <c r="AE31" t="str">
        <f>IF(COLUMNS($C$10:AE30)&lt;=$A31,INDEX(Table1[[PARTICULAR]:[PARTICULAR]],_xlfn.AGGREGATE(15,3,(Table1[[#This Row],[Details]:[Details]]=$B31)/(Table1[[#This Row],[Details]:[Details]]=$B31)*(ROW(Table1[[Details]:[Details]])-ROW(Table1[[#Headers],[Details]])),COLUMNS($C$10:AE30))),"")</f>
        <v/>
      </c>
      <c r="AF31" t="str">
        <f>IF(COLUMNS($C$10:AF30)&lt;=$A31,INDEX(Table1[[PARTICULAR]:[PARTICULAR]],_xlfn.AGGREGATE(15,3,(Table1[[#This Row],[Details]:[Details]]=$B31)/(Table1[[#This Row],[Details]:[Details]]=$B31)*(ROW(Table1[[Details]:[Details]])-ROW(Table1[[#Headers],[Details]])),COLUMNS($C$10:AF30))),"")</f>
        <v/>
      </c>
      <c r="AG31" t="str">
        <f>IF(COLUMNS($C$10:AG30)&lt;=$A31,INDEX(Table1[[PARTICULAR]:[PARTICULAR]],_xlfn.AGGREGATE(15,3,(Table1[[#This Row],[Details]:[Details]]=$B31)/(Table1[[#This Row],[Details]:[Details]]=$B31)*(ROW(Table1[[Details]:[Details]])-ROW(Table1[[#Headers],[Details]])),COLUMNS($C$10:AG30))),"")</f>
        <v/>
      </c>
      <c r="AH31" t="str">
        <f>IF(COLUMNS($C$10:AH30)&lt;=$A31,INDEX(Table1[[PARTICULAR]:[PARTICULAR]],_xlfn.AGGREGATE(15,3,(Table1[[#This Row],[Details]:[Details]]=$B31)/(Table1[[#This Row],[Details]:[Details]]=$B31)*(ROW(Table1[[Details]:[Details]])-ROW(Table1[[#Headers],[Details]])),COLUMNS($C$10:AH30))),"")</f>
        <v/>
      </c>
      <c r="AI31" t="str">
        <f>IF(COLUMNS($C$10:AI30)&lt;=$A31,INDEX(Table1[[PARTICULAR]:[PARTICULAR]],_xlfn.AGGREGATE(15,3,(Table1[[#This Row],[Details]:[Details]]=$B31)/(Table1[[#This Row],[Details]:[Details]]=$B31)*(ROW(Table1[[Details]:[Details]])-ROW(Table1[[#Headers],[Details]])),COLUMNS($C$10:AI30))),"")</f>
        <v/>
      </c>
      <c r="AJ31" t="str">
        <f>IF(COLUMNS($C$10:AJ30)&lt;=$A31,INDEX(Table1[[PARTICULAR]:[PARTICULAR]],_xlfn.AGGREGATE(15,3,(Table1[[#This Row],[Details]:[Details]]=$B31)/(Table1[[#This Row],[Details]:[Details]]=$B31)*(ROW(Table1[[Details]:[Details]])-ROW(Table1[[#Headers],[Details]])),COLUMNS($C$10:AJ30))),"")</f>
        <v/>
      </c>
      <c r="AK31" t="str">
        <f>IF(COLUMNS($C$10:AK30)&lt;=$A31,INDEX(Table1[[PARTICULAR]:[PARTICULAR]],_xlfn.AGGREGATE(15,3,(Table1[[#This Row],[Details]:[Details]]=$B31)/(Table1[[#This Row],[Details]:[Details]]=$B31)*(ROW(Table1[[Details]:[Details]])-ROW(Table1[[#Headers],[Details]])),COLUMNS($C$10:AK30))),"")</f>
        <v/>
      </c>
      <c r="AL31" t="str">
        <f>IF(COLUMNS($C$10:AL30)&lt;=$A31,INDEX(Table1[[PARTICULAR]:[PARTICULAR]],_xlfn.AGGREGATE(15,3,(Table1[[#This Row],[Details]:[Details]]=$B31)/(Table1[[#This Row],[Details]:[Details]]=$B31)*(ROW(Table1[[Details]:[Details]])-ROW(Table1[[#Headers],[Details]])),COLUMNS($C$10:AL30))),"")</f>
        <v/>
      </c>
      <c r="AM31" t="str">
        <f>IF(COLUMNS($C$10:AM30)&lt;=$A31,INDEX(Table1[[PARTICULAR]:[PARTICULAR]],_xlfn.AGGREGATE(15,3,(Table1[[#This Row],[Details]:[Details]]=$B31)/(Table1[[#This Row],[Details]:[Details]]=$B31)*(ROW(Table1[[Details]:[Details]])-ROW(Table1[[#Headers],[Details]])),COLUMNS($C$10:AM30))),"")</f>
        <v/>
      </c>
      <c r="AN31" t="str">
        <f>IF(COLUMNS($C$10:AN30)&lt;=$A31,INDEX(Table1[[PARTICULAR]:[PARTICULAR]],_xlfn.AGGREGATE(15,3,(Table1[[#This Row],[Details]:[Details]]=$B31)/(Table1[[#This Row],[Details]:[Details]]=$B31)*(ROW(Table1[[Details]:[Details]])-ROW(Table1[[#Headers],[Details]])),COLUMNS($C$10:AN30))),"")</f>
        <v/>
      </c>
      <c r="AO31" t="str">
        <f>IF(COLUMNS($C$10:AO30)&lt;=$A31,INDEX(Table1[[PARTICULAR]:[PARTICULAR]],_xlfn.AGGREGATE(15,3,(Table1[[#This Row],[Details]:[Details]]=$B31)/(Table1[[#This Row],[Details]:[Details]]=$B31)*(ROW(Table1[[Details]:[Details]])-ROW(Table1[[#Headers],[Details]])),COLUMNS($C$10:AO30))),"")</f>
        <v/>
      </c>
      <c r="AP31" t="str">
        <f>IF(COLUMNS($C$10:AP30)&lt;=$A31,INDEX(Table1[[PARTICULAR]:[PARTICULAR]],_xlfn.AGGREGATE(15,3,(Table1[[#This Row],[Details]:[Details]]=$B31)/(Table1[[#This Row],[Details]:[Details]]=$B31)*(ROW(Table1[[Details]:[Details]])-ROW(Table1[[#Headers],[Details]])),COLUMNS($C$10:AP30))),"")</f>
        <v/>
      </c>
      <c r="AQ31" t="str">
        <f>IF(COLUMNS($C$10:AQ30)&lt;=$A31,INDEX(Table1[[PARTICULAR]:[PARTICULAR]],_xlfn.AGGREGATE(15,3,(Table1[[#This Row],[Details]:[Details]]=$B31)/(Table1[[#This Row],[Details]:[Details]]=$B31)*(ROW(Table1[[Details]:[Details]])-ROW(Table1[[#Headers],[Details]])),COLUMNS($C$10:AQ30))),"")</f>
        <v/>
      </c>
      <c r="AR31" t="str">
        <f>IF(COLUMNS($C$10:AR30)&lt;=$A31,INDEX(Table1[[PARTICULAR]:[PARTICULAR]],_xlfn.AGGREGATE(15,3,(Table1[[#This Row],[Details]:[Details]]=$B31)/(Table1[[#This Row],[Details]:[Details]]=$B31)*(ROW(Table1[[Details]:[Details]])-ROW(Table1[[#Headers],[Details]])),COLUMNS($C$10:AR30))),"")</f>
        <v/>
      </c>
      <c r="AS31" t="str">
        <f>IF(COLUMNS($C$10:AS30)&lt;=$A31,INDEX(Table1[[PARTICULAR]:[PARTICULAR]],_xlfn.AGGREGATE(15,3,(Table1[[#This Row],[Details]:[Details]]=$B31)/(Table1[[#This Row],[Details]:[Details]]=$B31)*(ROW(Table1[[Details]:[Details]])-ROW(Table1[[#Headers],[Details]])),COLUMNS($C$10:AS30))),"")</f>
        <v/>
      </c>
      <c r="AT31" t="str">
        <f>IF(COLUMNS($C$10:AT30)&lt;=$A31,INDEX(Table1[[PARTICULAR]:[PARTICULAR]],_xlfn.AGGREGATE(15,3,(Table1[[#This Row],[Details]:[Details]]=$B31)/(Table1[[#This Row],[Details]:[Details]]=$B31)*(ROW(Table1[[Details]:[Details]])-ROW(Table1[[#Headers],[Details]])),COLUMNS($C$10:AT30))),"")</f>
        <v/>
      </c>
      <c r="AU31" t="str">
        <f>IF(COLUMNS($C$10:AU30)&lt;=$A31,INDEX(Table1[[PARTICULAR]:[PARTICULAR]],_xlfn.AGGREGATE(15,3,(Table1[[#This Row],[Details]:[Details]]=$B31)/(Table1[[#This Row],[Details]:[Details]]=$B31)*(ROW(Table1[[Details]:[Details]])-ROW(Table1[[#Headers],[Details]])),COLUMNS($C$10:AU30))),"")</f>
        <v/>
      </c>
      <c r="AV31" t="str">
        <f>IF(COLUMNS($C$10:AV30)&lt;=$A31,INDEX(Table1[[PARTICULAR]:[PARTICULAR]],_xlfn.AGGREGATE(15,3,(Table1[[#This Row],[Details]:[Details]]=$B31)/(Table1[[#This Row],[Details]:[Details]]=$B31)*(ROW(Table1[[Details]:[Details]])-ROW(Table1[[#Headers],[Details]])),COLUMNS($C$10:AV30))),"")</f>
        <v/>
      </c>
      <c r="AW31" t="str">
        <f>IF(COLUMNS($C$10:AW30)&lt;=$A31,INDEX(Table1[[PARTICULAR]:[PARTICULAR]],_xlfn.AGGREGATE(15,3,(Table1[[#This Row],[Details]:[Details]]=$B31)/(Table1[[#This Row],[Details]:[Details]]=$B31)*(ROW(Table1[[Details]:[Details]])-ROW(Table1[[#Headers],[Details]])),COLUMNS($C$10:AW30))),"")</f>
        <v/>
      </c>
      <c r="AX31" t="str">
        <f>IF(COLUMNS($C$10:AX30)&lt;=$A31,INDEX(Table1[[PARTICULAR]:[PARTICULAR]],_xlfn.AGGREGATE(15,3,(Table1[[#This Row],[Details]:[Details]]=$B31)/(Table1[[#This Row],[Details]:[Details]]=$B31)*(ROW(Table1[[Details]:[Details]])-ROW(Table1[[#Headers],[Details]])),COLUMNS($C$10:AX30))),"")</f>
        <v/>
      </c>
      <c r="AY31" t="str">
        <f>IF(COLUMNS($C$10:AY30)&lt;=$A31,INDEX(Table1[[PARTICULAR]:[PARTICULAR]],_xlfn.AGGREGATE(15,3,(Table1[[#This Row],[Details]:[Details]]=$B31)/(Table1[[#This Row],[Details]:[Details]]=$B31)*(ROW(Table1[[Details]:[Details]])-ROW(Table1[[#Headers],[Details]])),COLUMNS($C$10:AY30))),"")</f>
        <v/>
      </c>
      <c r="AZ31" t="str">
        <f>IF(COLUMNS($C$10:AZ30)&lt;=$A31,INDEX(Table1[[PARTICULAR]:[PARTICULAR]],_xlfn.AGGREGATE(15,3,(Table1[[#This Row],[Details]:[Details]]=$B31)/(Table1[[#This Row],[Details]:[Details]]=$B31)*(ROW(Table1[[Details]:[Details]])-ROW(Table1[[#Headers],[Details]])),COLUMNS($C$10:AZ30))),"")</f>
        <v/>
      </c>
      <c r="BA31" t="str">
        <f>IF(COLUMNS($C$10:BA30)&lt;=$A31,INDEX(Table1[[PARTICULAR]:[PARTICULAR]],_xlfn.AGGREGATE(15,3,(Table1[[#This Row],[Details]:[Details]]=$B31)/(Table1[[#This Row],[Details]:[Details]]=$B31)*(ROW(Table1[[Details]:[Details]])-ROW(Table1[[#Headers],[Details]])),COLUMNS($C$10:BA30))),"")</f>
        <v/>
      </c>
      <c r="BB31" t="str">
        <f>IF(COLUMNS($C$10:BB30)&lt;=$A31,INDEX(Table1[[PARTICULAR]:[PARTICULAR]],_xlfn.AGGREGATE(15,3,(Table1[[#This Row],[Details]:[Details]]=$B31)/(Table1[[#This Row],[Details]:[Details]]=$B31)*(ROW(Table1[[Details]:[Details]])-ROW(Table1[[#Headers],[Details]])),COLUMNS($C$10:BB30))),"")</f>
        <v/>
      </c>
      <c r="BC31" t="str">
        <f>IF(COLUMNS($C$10:BC30)&lt;=$A31,INDEX(Table1[[PARTICULAR]:[PARTICULAR]],_xlfn.AGGREGATE(15,3,(Table1[[#This Row],[Details]:[Details]]=$B31)/(Table1[[#This Row],[Details]:[Details]]=$B31)*(ROW(Table1[[Details]:[Details]])-ROW(Table1[[#Headers],[Details]])),COLUMNS($C$10:BC30))),"")</f>
        <v/>
      </c>
      <c r="BD31" t="str">
        <f>IF(COLUMNS($C$10:BD30)&lt;=$A31,INDEX(Table1[[PARTICULAR]:[PARTICULAR]],_xlfn.AGGREGATE(15,3,(Table1[[#This Row],[Details]:[Details]]=$B31)/(Table1[[#This Row],[Details]:[Details]]=$B31)*(ROW(Table1[[Details]:[Details]])-ROW(Table1[[#Headers],[Details]])),COLUMNS($C$10:BD30))),"")</f>
        <v/>
      </c>
      <c r="BE31" t="str">
        <f>IF(COLUMNS($C$10:BE30)&lt;=$A31,INDEX(Table1[[PARTICULAR]:[PARTICULAR]],_xlfn.AGGREGATE(15,3,(Table1[[#This Row],[Details]:[Details]]=$B31)/(Table1[[#This Row],[Details]:[Details]]=$B31)*(ROW(Table1[[Details]:[Details]])-ROW(Table1[[#Headers],[Details]])),COLUMNS($C$10:BE30))),"")</f>
        <v/>
      </c>
      <c r="BF31" t="str">
        <f>IF(COLUMNS($C$10:BF30)&lt;=$A31,INDEX(Table1[[PARTICULAR]:[PARTICULAR]],_xlfn.AGGREGATE(15,3,(Table1[[#This Row],[Details]:[Details]]=$B31)/(Table1[[#This Row],[Details]:[Details]]=$B31)*(ROW(Table1[[Details]:[Details]])-ROW(Table1[[#Headers],[Details]])),COLUMNS($C$10:BF30))),"")</f>
        <v/>
      </c>
      <c r="BG31" t="str">
        <f>IF(COLUMNS($C$10:BG30)&lt;=$A31,INDEX(Table1[[PARTICULAR]:[PARTICULAR]],_xlfn.AGGREGATE(15,3,(Table1[[#This Row],[Details]:[Details]]=$B31)/(Table1[[#This Row],[Details]:[Details]]=$B31)*(ROW(Table1[[Details]:[Details]])-ROW(Table1[[#Headers],[Details]])),COLUMNS($C$10:BG30))),"")</f>
        <v/>
      </c>
      <c r="BH31" t="str">
        <f>IF(COLUMNS($C$10:BH30)&lt;=$A31,INDEX(Table1[[PARTICULAR]:[PARTICULAR]],_xlfn.AGGREGATE(15,3,(Table1[[#This Row],[Details]:[Details]]=$B31)/(Table1[[#This Row],[Details]:[Details]]=$B31)*(ROW(Table1[[Details]:[Details]])-ROW(Table1[[#Headers],[Details]])),COLUMNS($C$10:BH30))),"")</f>
        <v/>
      </c>
      <c r="BI31" t="str">
        <f>IF(COLUMNS($C$10:BI30)&lt;=$A31,INDEX(Table1[[PARTICULAR]:[PARTICULAR]],_xlfn.AGGREGATE(15,3,(Table1[[#This Row],[Details]:[Details]]=$B31)/(Table1[[#This Row],[Details]:[Details]]=$B31)*(ROW(Table1[[Details]:[Details]])-ROW(Table1[[#Headers],[Details]])),COLUMNS($C$10:BI30))),"")</f>
        <v/>
      </c>
      <c r="BJ31" t="str">
        <f>IF(COLUMNS($C$10:BJ30)&lt;=$A31,INDEX(Table1[[PARTICULAR]:[PARTICULAR]],_xlfn.AGGREGATE(15,3,(Table1[[#This Row],[Details]:[Details]]=$B31)/(Table1[[#This Row],[Details]:[Details]]=$B31)*(ROW(Table1[[Details]:[Details]])-ROW(Table1[[#Headers],[Details]])),COLUMNS($C$10:BJ30))),"")</f>
        <v/>
      </c>
      <c r="BK31" t="str">
        <f>IF(COLUMNS($C$10:BK30)&lt;=$A31,INDEX(Table1[[PARTICULAR]:[PARTICULAR]],_xlfn.AGGREGATE(15,3,(Table1[[#This Row],[Details]:[Details]]=$B31)/(Table1[[#This Row],[Details]:[Details]]=$B31)*(ROW(Table1[[Details]:[Details]])-ROW(Table1[[#Headers],[Details]])),COLUMNS($C$10:BK30))),"")</f>
        <v/>
      </c>
      <c r="BL31" t="str">
        <f>IF(COLUMNS($C$10:BL30)&lt;=$A31,INDEX(Table1[[PARTICULAR]:[PARTICULAR]],_xlfn.AGGREGATE(15,3,(Table1[[#This Row],[Details]:[Details]]=$B31)/(Table1[[#This Row],[Details]:[Details]]=$B31)*(ROW(Table1[[Details]:[Details]])-ROW(Table1[[#Headers],[Details]])),COLUMNS($C$10:BL30))),"")</f>
        <v/>
      </c>
      <c r="BM31" t="str">
        <f>IF(COLUMNS($C$10:BM30)&lt;=$A31,INDEX(Table1[[PARTICULAR]:[PARTICULAR]],_xlfn.AGGREGATE(15,3,(Table1[[#This Row],[Details]:[Details]]=$B31)/(Table1[[#This Row],[Details]:[Details]]=$B31)*(ROW(Table1[[Details]:[Details]])-ROW(Table1[[#Headers],[Details]])),COLUMNS($C$10:BM30))),"")</f>
        <v/>
      </c>
      <c r="BN31" t="str">
        <f>IF(COLUMNS($C$10:BN30)&lt;=$A31,INDEX(Table1[[PARTICULAR]:[PARTICULAR]],_xlfn.AGGREGATE(15,3,(Table1[[#This Row],[Details]:[Details]]=$B31)/(Table1[[#This Row],[Details]:[Details]]=$B31)*(ROW(Table1[[Details]:[Details]])-ROW(Table1[[#Headers],[Details]])),COLUMNS($C$10:BN30))),"")</f>
        <v/>
      </c>
      <c r="BO31" t="str">
        <f>IF(COLUMNS($C$10:BO30)&lt;=$A31,INDEX(Table1[[PARTICULAR]:[PARTICULAR]],_xlfn.AGGREGATE(15,3,(Table1[[#This Row],[Details]:[Details]]=$B31)/(Table1[[#This Row],[Details]:[Details]]=$B31)*(ROW(Table1[[Details]:[Details]])-ROW(Table1[[#Headers],[Details]])),COLUMNS($C$10:BO30))),"")</f>
        <v/>
      </c>
      <c r="BP31" t="str">
        <f>IF(COLUMNS($C$10:BP30)&lt;=$A31,INDEX(Table1[[PARTICULAR]:[PARTICULAR]],_xlfn.AGGREGATE(15,3,(Table1[[#This Row],[Details]:[Details]]=$B31)/(Table1[[#This Row],[Details]:[Details]]=$B31)*(ROW(Table1[[Details]:[Details]])-ROW(Table1[[#Headers],[Details]])),COLUMNS($C$10:BP30))),"")</f>
        <v/>
      </c>
      <c r="BQ31" t="str">
        <f>IF(COLUMNS($C$10:BQ30)&lt;=$A31,INDEX(Table1[[PARTICULAR]:[PARTICULAR]],_xlfn.AGGREGATE(15,3,(Table1[[#This Row],[Details]:[Details]]=$B31)/(Table1[[#This Row],[Details]:[Details]]=$B31)*(ROW(Table1[[Details]:[Details]])-ROW(Table1[[#Headers],[Details]])),COLUMNS($C$10:BQ30))),"")</f>
        <v/>
      </c>
      <c r="BR31" t="str">
        <f>IF(COLUMNS($C$10:BR30)&lt;=$A31,INDEX(Table1[[PARTICULAR]:[PARTICULAR]],_xlfn.AGGREGATE(15,3,(Table1[[#This Row],[Details]:[Details]]=$B31)/(Table1[[#This Row],[Details]:[Details]]=$B31)*(ROW(Table1[[Details]:[Details]])-ROW(Table1[[#Headers],[Details]])),COLUMNS($C$10:BR30))),"")</f>
        <v/>
      </c>
      <c r="BS31" t="str">
        <f>IF(COLUMNS($C$10:BS30)&lt;=$A31,INDEX(Table1[[PARTICULAR]:[PARTICULAR]],_xlfn.AGGREGATE(15,3,(Table1[[#This Row],[Details]:[Details]]=$B31)/(Table1[[#This Row],[Details]:[Details]]=$B31)*(ROW(Table1[[Details]:[Details]])-ROW(Table1[[#Headers],[Details]])),COLUMNS($C$10:BS30))),"")</f>
        <v/>
      </c>
      <c r="BT31" t="str">
        <f>IF(COLUMNS($C$10:BT30)&lt;=$A31,INDEX(Table1[[PARTICULAR]:[PARTICULAR]],_xlfn.AGGREGATE(15,3,(Table1[[#This Row],[Details]:[Details]]=$B31)/(Table1[[#This Row],[Details]:[Details]]=$B31)*(ROW(Table1[[Details]:[Details]])-ROW(Table1[[#Headers],[Details]])),COLUMNS($C$10:BT30))),"")</f>
        <v/>
      </c>
      <c r="BU31" t="str">
        <f>IF(COLUMNS($C$10:BU30)&lt;=$A31,INDEX(Table1[[PARTICULAR]:[PARTICULAR]],_xlfn.AGGREGATE(15,3,(Table1[[#This Row],[Details]:[Details]]=$B31)/(Table1[[#This Row],[Details]:[Details]]=$B31)*(ROW(Table1[[Details]:[Details]])-ROW(Table1[[#Headers],[Details]])),COLUMNS($C$10:BU30))),"")</f>
        <v/>
      </c>
      <c r="BV31" t="str">
        <f>IF(COLUMNS($C$10:BV30)&lt;=$A31,INDEX(Table1[[PARTICULAR]:[PARTICULAR]],_xlfn.AGGREGATE(15,3,(Table1[[#This Row],[Details]:[Details]]=$B31)/(Table1[[#This Row],[Details]:[Details]]=$B31)*(ROW(Table1[[Details]:[Details]])-ROW(Table1[[#Headers],[Details]])),COLUMNS($C$10:BV30))),"")</f>
        <v/>
      </c>
      <c r="BW31" t="str">
        <f>IF(COLUMNS($C$10:BW30)&lt;=$A31,INDEX(Table1[[PARTICULAR]:[PARTICULAR]],_xlfn.AGGREGATE(15,3,(Table1[[#This Row],[Details]:[Details]]=$B31)/(Table1[[#This Row],[Details]:[Details]]=$B31)*(ROW(Table1[[Details]:[Details]])-ROW(Table1[[#Headers],[Details]])),COLUMNS($C$10:BW30))),"")</f>
        <v/>
      </c>
      <c r="BX31" t="str">
        <f>IF(COLUMNS($C$10:BX30)&lt;=$A31,INDEX(Table1[[PARTICULAR]:[PARTICULAR]],_xlfn.AGGREGATE(15,3,(Table1[[#This Row],[Details]:[Details]]=$B31)/(Table1[[#This Row],[Details]:[Details]]=$B31)*(ROW(Table1[[Details]:[Details]])-ROW(Table1[[#Headers],[Details]])),COLUMNS($C$10:BX30))),"")</f>
        <v/>
      </c>
      <c r="BY31" t="str">
        <f>IF(COLUMNS($C$10:BY30)&lt;=$A31,INDEX(Table1[[PARTICULAR]:[PARTICULAR]],_xlfn.AGGREGATE(15,3,(Table1[[#This Row],[Details]:[Details]]=$B31)/(Table1[[#This Row],[Details]:[Details]]=$B31)*(ROW(Table1[[Details]:[Details]])-ROW(Table1[[#Headers],[Details]])),COLUMNS($C$10:BY30))),"")</f>
        <v/>
      </c>
      <c r="BZ31" t="str">
        <f>IF(COLUMNS($C$10:BZ30)&lt;=$A31,INDEX(Table1[[PARTICULAR]:[PARTICULAR]],_xlfn.AGGREGATE(15,3,(Table1[[#This Row],[Details]:[Details]]=$B31)/(Table1[[#This Row],[Details]:[Details]]=$B31)*(ROW(Table1[[Details]:[Details]])-ROW(Table1[[#Headers],[Details]])),COLUMNS($C$10:BZ30))),"")</f>
        <v/>
      </c>
      <c r="CA31" t="str">
        <f>IF(COLUMNS($C$10:CA30)&lt;=$A31,INDEX(Table1[[PARTICULAR]:[PARTICULAR]],_xlfn.AGGREGATE(15,3,(Table1[[#This Row],[Details]:[Details]]=$B31)/(Table1[[#This Row],[Details]:[Details]]=$B31)*(ROW(Table1[[Details]:[Details]])-ROW(Table1[[#Headers],[Details]])),COLUMNS($C$10:CA30))),"")</f>
        <v/>
      </c>
      <c r="CB31" t="str">
        <f>IF(COLUMNS($C$10:CB30)&lt;=$A31,INDEX(Table1[[PARTICULAR]:[PARTICULAR]],_xlfn.AGGREGATE(15,3,(Table1[[#This Row],[Details]:[Details]]=$B31)/(Table1[[#This Row],[Details]:[Details]]=$B31)*(ROW(Table1[[Details]:[Details]])-ROW(Table1[[#Headers],[Details]])),COLUMNS($C$10:CB30))),"")</f>
        <v/>
      </c>
    </row>
    <row r="32" spans="1:80">
      <c r="A32">
        <f>COUNTIF(Table1[Details],B32)</f>
        <v>2</v>
      </c>
      <c r="B32" s="97" t="str">
        <f>IFERROR(INDEX(Table1[Details],MATCH(0,INDEX(COUNTIF($B$10:B31,Table1[Details]),),0)),"")</f>
        <v>Delivery</v>
      </c>
      <c r="C32" t="str">
        <f>IF(COLUMNS($C$10:C31)&lt;=$A32,INDEX(Table1[[PARTICULAR]:[PARTICULAR]],_xlfn.AGGREGATE(15,3,(Table1[[#This Row],[Details]:[Details]]=$B32)/(Table1[[#This Row],[Details]:[Details]]=$B32)*(ROW(Table1[[Details]:[Details]])-ROW(Table1[[#Headers],[Details]])),COLUMNS($C$10:C31))),"")</f>
        <v>Packing Charges</v>
      </c>
      <c r="D32" t="str">
        <f>IF(COLUMNS($C$10:D31)&lt;=$A32,INDEX(Table1[[PARTICULAR]:[PARTICULAR]],_xlfn.AGGREGATE(15,3,(Table1[[#This Row],[Details]:[Details]]=$B32)/(Table1[[#This Row],[Details]:[Details]]=$B32)*(ROW(Table1[[Details]:[Details]])-ROW(Table1[[#Headers],[Details]])),COLUMNS($C$10:D31))),"")</f>
        <v>Transport Charges</v>
      </c>
      <c r="E32" t="str">
        <f>IF(COLUMNS($C$10:E31)&lt;=$A32,INDEX(Table1[[PARTICULAR]:[PARTICULAR]],_xlfn.AGGREGATE(15,3,(Table1[[#This Row],[Details]:[Details]]=$B32)/(Table1[[#This Row],[Details]:[Details]]=$B32)*(ROW(Table1[[Details]:[Details]])-ROW(Table1[[#Headers],[Details]])),COLUMNS($C$10:E31))),"")</f>
        <v/>
      </c>
      <c r="F32" t="str">
        <f>IF(COLUMNS($C$10:F31)&lt;=$A32,INDEX(Table1[[PARTICULAR]:[PARTICULAR]],_xlfn.AGGREGATE(15,3,(Table1[[#This Row],[Details]:[Details]]=$B32)/(Table1[[#This Row],[Details]:[Details]]=$B32)*(ROW(Table1[[Details]:[Details]])-ROW(Table1[[#Headers],[Details]])),COLUMNS($C$10:F31))),"")</f>
        <v/>
      </c>
      <c r="G32" t="str">
        <f>IF(COLUMNS($C$10:G31)&lt;=$A32,INDEX(Table1[[PARTICULAR]:[PARTICULAR]],_xlfn.AGGREGATE(15,3,(Table1[[#This Row],[Details]:[Details]]=$B32)/(Table1[[#This Row],[Details]:[Details]]=$B32)*(ROW(Table1[[Details]:[Details]])-ROW(Table1[[#Headers],[Details]])),COLUMNS($C$10:G31))),"")</f>
        <v/>
      </c>
      <c r="H32" t="str">
        <f>IF(COLUMNS($C$10:H31)&lt;=$A32,INDEX(Table1[[PARTICULAR]:[PARTICULAR]],_xlfn.AGGREGATE(15,3,(Table1[[#This Row],[Details]:[Details]]=$B32)/(Table1[[#This Row],[Details]:[Details]]=$B32)*(ROW(Table1[[Details]:[Details]])-ROW(Table1[[#Headers],[Details]])),COLUMNS($C$10:H31))),"")</f>
        <v/>
      </c>
      <c r="I32" t="str">
        <f>IF(COLUMNS($C$10:I31)&lt;=$A32,INDEX(Table1[[PARTICULAR]:[PARTICULAR]],_xlfn.AGGREGATE(15,3,(Table1[[#This Row],[Details]:[Details]]=$B32)/(Table1[[#This Row],[Details]:[Details]]=$B32)*(ROW(Table1[[Details]:[Details]])-ROW(Table1[[#Headers],[Details]])),COLUMNS($C$10:I31))),"")</f>
        <v/>
      </c>
      <c r="J32" t="str">
        <f>IF(COLUMNS($C$10:J31)&lt;=$A32,INDEX(Table1[[PARTICULAR]:[PARTICULAR]],_xlfn.AGGREGATE(15,3,(Table1[[#This Row],[Details]:[Details]]=$B32)/(Table1[[#This Row],[Details]:[Details]]=$B32)*(ROW(Table1[[Details]:[Details]])-ROW(Table1[[#Headers],[Details]])),COLUMNS($C$10:J31))),"")</f>
        <v/>
      </c>
      <c r="K32" t="str">
        <f>IF(COLUMNS($C$10:K31)&lt;=$A32,INDEX(Table1[[PARTICULAR]:[PARTICULAR]],_xlfn.AGGREGATE(15,3,(Table1[[#This Row],[Details]:[Details]]=$B32)/(Table1[[#This Row],[Details]:[Details]]=$B32)*(ROW(Table1[[Details]:[Details]])-ROW(Table1[[#Headers],[Details]])),COLUMNS($C$10:K31))),"")</f>
        <v/>
      </c>
      <c r="L32" t="str">
        <f>IF(COLUMNS($C$10:L31)&lt;=$A32,INDEX(Table1[[PARTICULAR]:[PARTICULAR]],_xlfn.AGGREGATE(15,3,(Table1[[#This Row],[Details]:[Details]]=$B32)/(Table1[[#This Row],[Details]:[Details]]=$B32)*(ROW(Table1[[Details]:[Details]])-ROW(Table1[[#Headers],[Details]])),COLUMNS($C$10:L31))),"")</f>
        <v/>
      </c>
      <c r="M32" t="str">
        <f>IF(COLUMNS($C$10:M31)&lt;=$A32,INDEX(Table1[[PARTICULAR]:[PARTICULAR]],_xlfn.AGGREGATE(15,3,(Table1[[#This Row],[Details]:[Details]]=$B32)/(Table1[[#This Row],[Details]:[Details]]=$B32)*(ROW(Table1[[Details]:[Details]])-ROW(Table1[[#Headers],[Details]])),COLUMNS($C$10:M31))),"")</f>
        <v/>
      </c>
      <c r="N32" t="str">
        <f>IF(COLUMNS($C$10:N31)&lt;=$A32,INDEX(Table1[[PARTICULAR]:[PARTICULAR]],_xlfn.AGGREGATE(15,3,(Table1[[#This Row],[Details]:[Details]]=$B32)/(Table1[[#This Row],[Details]:[Details]]=$B32)*(ROW(Table1[[Details]:[Details]])-ROW(Table1[[#Headers],[Details]])),COLUMNS($C$10:N31))),"")</f>
        <v/>
      </c>
      <c r="O32" t="str">
        <f>IF(COLUMNS($C$10:O31)&lt;=$A32,INDEX(Table1[[PARTICULAR]:[PARTICULAR]],_xlfn.AGGREGATE(15,3,(Table1[[#This Row],[Details]:[Details]]=$B32)/(Table1[[#This Row],[Details]:[Details]]=$B32)*(ROW(Table1[[Details]:[Details]])-ROW(Table1[[#Headers],[Details]])),COLUMNS($C$10:O31))),"")</f>
        <v/>
      </c>
      <c r="P32" t="str">
        <f>IF(COLUMNS($C$10:P31)&lt;=$A32,INDEX(Table1[[PARTICULAR]:[PARTICULAR]],_xlfn.AGGREGATE(15,3,(Table1[[#This Row],[Details]:[Details]]=$B32)/(Table1[[#This Row],[Details]:[Details]]=$B32)*(ROW(Table1[[Details]:[Details]])-ROW(Table1[[#Headers],[Details]])),COLUMNS($C$10:P31))),"")</f>
        <v/>
      </c>
      <c r="Q32" t="str">
        <f>IF(COLUMNS($C$10:Q31)&lt;=$A32,INDEX(Table1[[PARTICULAR]:[PARTICULAR]],_xlfn.AGGREGATE(15,3,(Table1[[#This Row],[Details]:[Details]]=$B32)/(Table1[[#This Row],[Details]:[Details]]=$B32)*(ROW(Table1[[Details]:[Details]])-ROW(Table1[[#Headers],[Details]])),COLUMNS($C$10:Q31))),"")</f>
        <v/>
      </c>
      <c r="R32" t="str">
        <f>IF(COLUMNS($C$10:R31)&lt;=$A32,INDEX(Table1[[PARTICULAR]:[PARTICULAR]],_xlfn.AGGREGATE(15,3,(Table1[[#This Row],[Details]:[Details]]=$B32)/(Table1[[#This Row],[Details]:[Details]]=$B32)*(ROW(Table1[[Details]:[Details]])-ROW(Table1[[#Headers],[Details]])),COLUMNS($C$10:R31))),"")</f>
        <v/>
      </c>
      <c r="S32" t="str">
        <f>IF(COLUMNS($C$10:S31)&lt;=$A32,INDEX(Table1[[PARTICULAR]:[PARTICULAR]],_xlfn.AGGREGATE(15,3,(Table1[[#This Row],[Details]:[Details]]=$B32)/(Table1[[#This Row],[Details]:[Details]]=$B32)*(ROW(Table1[[Details]:[Details]])-ROW(Table1[[#Headers],[Details]])),COLUMNS($C$10:S31))),"")</f>
        <v/>
      </c>
      <c r="T32" t="str">
        <f>IF(COLUMNS($C$10:T31)&lt;=$A32,INDEX(Table1[[PARTICULAR]:[PARTICULAR]],_xlfn.AGGREGATE(15,3,(Table1[[#This Row],[Details]:[Details]]=$B32)/(Table1[[#This Row],[Details]:[Details]]=$B32)*(ROW(Table1[[Details]:[Details]])-ROW(Table1[[#Headers],[Details]])),COLUMNS($C$10:T31))),"")</f>
        <v/>
      </c>
      <c r="U32" t="str">
        <f>IF(COLUMNS($C$10:U31)&lt;=$A32,INDEX(Table1[[PARTICULAR]:[PARTICULAR]],_xlfn.AGGREGATE(15,3,(Table1[[#This Row],[Details]:[Details]]=$B32)/(Table1[[#This Row],[Details]:[Details]]=$B32)*(ROW(Table1[[Details]:[Details]])-ROW(Table1[[#Headers],[Details]])),COLUMNS($C$10:U31))),"")</f>
        <v/>
      </c>
      <c r="V32" t="str">
        <f>IF(COLUMNS($C$10:V31)&lt;=$A32,INDEX(Table1[[PARTICULAR]:[PARTICULAR]],_xlfn.AGGREGATE(15,3,(Table1[[#This Row],[Details]:[Details]]=$B32)/(Table1[[#This Row],[Details]:[Details]]=$B32)*(ROW(Table1[[Details]:[Details]])-ROW(Table1[[#Headers],[Details]])),COLUMNS($C$10:V31))),"")</f>
        <v/>
      </c>
      <c r="W32" t="str">
        <f>IF(COLUMNS($C$10:W31)&lt;=$A32,INDEX(Table1[[PARTICULAR]:[PARTICULAR]],_xlfn.AGGREGATE(15,3,(Table1[[#This Row],[Details]:[Details]]=$B32)/(Table1[[#This Row],[Details]:[Details]]=$B32)*(ROW(Table1[[Details]:[Details]])-ROW(Table1[[#Headers],[Details]])),COLUMNS($C$10:W31))),"")</f>
        <v/>
      </c>
      <c r="X32" t="str">
        <f>IF(COLUMNS($C$10:X31)&lt;=$A32,INDEX(Table1[[PARTICULAR]:[PARTICULAR]],_xlfn.AGGREGATE(15,3,(Table1[[#This Row],[Details]:[Details]]=$B32)/(Table1[[#This Row],[Details]:[Details]]=$B32)*(ROW(Table1[[Details]:[Details]])-ROW(Table1[[#Headers],[Details]])),COLUMNS($C$10:X31))),"")</f>
        <v/>
      </c>
      <c r="Y32" t="str">
        <f>IF(COLUMNS($C$10:Y31)&lt;=$A32,INDEX(Table1[[PARTICULAR]:[PARTICULAR]],_xlfn.AGGREGATE(15,3,(Table1[[#This Row],[Details]:[Details]]=$B32)/(Table1[[#This Row],[Details]:[Details]]=$B32)*(ROW(Table1[[Details]:[Details]])-ROW(Table1[[#Headers],[Details]])),COLUMNS($C$10:Y31))),"")</f>
        <v/>
      </c>
      <c r="Z32" t="str">
        <f>IF(COLUMNS($C$10:Z31)&lt;=$A32,INDEX(Table1[[PARTICULAR]:[PARTICULAR]],_xlfn.AGGREGATE(15,3,(Table1[[#This Row],[Details]:[Details]]=$B32)/(Table1[[#This Row],[Details]:[Details]]=$B32)*(ROW(Table1[[Details]:[Details]])-ROW(Table1[[#Headers],[Details]])),COLUMNS($C$10:Z31))),"")</f>
        <v/>
      </c>
      <c r="AA32" t="str">
        <f>IF(COLUMNS($C$10:AA31)&lt;=$A32,INDEX(Table1[[PARTICULAR]:[PARTICULAR]],_xlfn.AGGREGATE(15,3,(Table1[[#This Row],[Details]:[Details]]=$B32)/(Table1[[#This Row],[Details]:[Details]]=$B32)*(ROW(Table1[[Details]:[Details]])-ROW(Table1[[#Headers],[Details]])),COLUMNS($C$10:AA31))),"")</f>
        <v/>
      </c>
      <c r="AB32" t="str">
        <f>IF(COLUMNS($C$10:AB31)&lt;=$A32,INDEX(Table1[[PARTICULAR]:[PARTICULAR]],_xlfn.AGGREGATE(15,3,(Table1[[#This Row],[Details]:[Details]]=$B32)/(Table1[[#This Row],[Details]:[Details]]=$B32)*(ROW(Table1[[Details]:[Details]])-ROW(Table1[[#Headers],[Details]])),COLUMNS($C$10:AB31))),"")</f>
        <v/>
      </c>
      <c r="AC32" t="str">
        <f>IF(COLUMNS($C$10:AC31)&lt;=$A32,INDEX(Table1[[PARTICULAR]:[PARTICULAR]],_xlfn.AGGREGATE(15,3,(Table1[[#This Row],[Details]:[Details]]=$B32)/(Table1[[#This Row],[Details]:[Details]]=$B32)*(ROW(Table1[[Details]:[Details]])-ROW(Table1[[#Headers],[Details]])),COLUMNS($C$10:AC31))),"")</f>
        <v/>
      </c>
      <c r="AD32" t="str">
        <f>IF(COLUMNS($C$10:AD31)&lt;=$A32,INDEX(Table1[[PARTICULAR]:[PARTICULAR]],_xlfn.AGGREGATE(15,3,(Table1[[#This Row],[Details]:[Details]]=$B32)/(Table1[[#This Row],[Details]:[Details]]=$B32)*(ROW(Table1[[Details]:[Details]])-ROW(Table1[[#Headers],[Details]])),COLUMNS($C$10:AD31))),"")</f>
        <v/>
      </c>
      <c r="AE32" t="str">
        <f>IF(COLUMNS($C$10:AE31)&lt;=$A32,INDEX(Table1[[PARTICULAR]:[PARTICULAR]],_xlfn.AGGREGATE(15,3,(Table1[[#This Row],[Details]:[Details]]=$B32)/(Table1[[#This Row],[Details]:[Details]]=$B32)*(ROW(Table1[[Details]:[Details]])-ROW(Table1[[#Headers],[Details]])),COLUMNS($C$10:AE31))),"")</f>
        <v/>
      </c>
      <c r="AF32" t="str">
        <f>IF(COLUMNS($C$10:AF31)&lt;=$A32,INDEX(Table1[[PARTICULAR]:[PARTICULAR]],_xlfn.AGGREGATE(15,3,(Table1[[#This Row],[Details]:[Details]]=$B32)/(Table1[[#This Row],[Details]:[Details]]=$B32)*(ROW(Table1[[Details]:[Details]])-ROW(Table1[[#Headers],[Details]])),COLUMNS($C$10:AF31))),"")</f>
        <v/>
      </c>
      <c r="AG32" t="str">
        <f>IF(COLUMNS($C$10:AG31)&lt;=$A32,INDEX(Table1[[PARTICULAR]:[PARTICULAR]],_xlfn.AGGREGATE(15,3,(Table1[[#This Row],[Details]:[Details]]=$B32)/(Table1[[#This Row],[Details]:[Details]]=$B32)*(ROW(Table1[[Details]:[Details]])-ROW(Table1[[#Headers],[Details]])),COLUMNS($C$10:AG31))),"")</f>
        <v/>
      </c>
      <c r="AH32" t="str">
        <f>IF(COLUMNS($C$10:AH31)&lt;=$A32,INDEX(Table1[[PARTICULAR]:[PARTICULAR]],_xlfn.AGGREGATE(15,3,(Table1[[#This Row],[Details]:[Details]]=$B32)/(Table1[[#This Row],[Details]:[Details]]=$B32)*(ROW(Table1[[Details]:[Details]])-ROW(Table1[[#Headers],[Details]])),COLUMNS($C$10:AH31))),"")</f>
        <v/>
      </c>
      <c r="AI32" t="str">
        <f>IF(COLUMNS($C$10:AI31)&lt;=$A32,INDEX(Table1[[PARTICULAR]:[PARTICULAR]],_xlfn.AGGREGATE(15,3,(Table1[[#This Row],[Details]:[Details]]=$B32)/(Table1[[#This Row],[Details]:[Details]]=$B32)*(ROW(Table1[[Details]:[Details]])-ROW(Table1[[#Headers],[Details]])),COLUMNS($C$10:AI31))),"")</f>
        <v/>
      </c>
      <c r="AJ32" t="str">
        <f>IF(COLUMNS($C$10:AJ31)&lt;=$A32,INDEX(Table1[[PARTICULAR]:[PARTICULAR]],_xlfn.AGGREGATE(15,3,(Table1[[#This Row],[Details]:[Details]]=$B32)/(Table1[[#This Row],[Details]:[Details]]=$B32)*(ROW(Table1[[Details]:[Details]])-ROW(Table1[[#Headers],[Details]])),COLUMNS($C$10:AJ31))),"")</f>
        <v/>
      </c>
      <c r="AK32" t="str">
        <f>IF(COLUMNS($C$10:AK31)&lt;=$A32,INDEX(Table1[[PARTICULAR]:[PARTICULAR]],_xlfn.AGGREGATE(15,3,(Table1[[#This Row],[Details]:[Details]]=$B32)/(Table1[[#This Row],[Details]:[Details]]=$B32)*(ROW(Table1[[Details]:[Details]])-ROW(Table1[[#Headers],[Details]])),COLUMNS($C$10:AK31))),"")</f>
        <v/>
      </c>
      <c r="AL32" t="str">
        <f>IF(COLUMNS($C$10:AL31)&lt;=$A32,INDEX(Table1[[PARTICULAR]:[PARTICULAR]],_xlfn.AGGREGATE(15,3,(Table1[[#This Row],[Details]:[Details]]=$B32)/(Table1[[#This Row],[Details]:[Details]]=$B32)*(ROW(Table1[[Details]:[Details]])-ROW(Table1[[#Headers],[Details]])),COLUMNS($C$10:AL31))),"")</f>
        <v/>
      </c>
      <c r="AM32" t="str">
        <f>IF(COLUMNS($C$10:AM31)&lt;=$A32,INDEX(Table1[[PARTICULAR]:[PARTICULAR]],_xlfn.AGGREGATE(15,3,(Table1[[#This Row],[Details]:[Details]]=$B32)/(Table1[[#This Row],[Details]:[Details]]=$B32)*(ROW(Table1[[Details]:[Details]])-ROW(Table1[[#Headers],[Details]])),COLUMNS($C$10:AM31))),"")</f>
        <v/>
      </c>
      <c r="AN32" t="str">
        <f>IF(COLUMNS($C$10:AN31)&lt;=$A32,INDEX(Table1[[PARTICULAR]:[PARTICULAR]],_xlfn.AGGREGATE(15,3,(Table1[[#This Row],[Details]:[Details]]=$B32)/(Table1[[#This Row],[Details]:[Details]]=$B32)*(ROW(Table1[[Details]:[Details]])-ROW(Table1[[#Headers],[Details]])),COLUMNS($C$10:AN31))),"")</f>
        <v/>
      </c>
      <c r="AO32" t="str">
        <f>IF(COLUMNS($C$10:AO31)&lt;=$A32,INDEX(Table1[[PARTICULAR]:[PARTICULAR]],_xlfn.AGGREGATE(15,3,(Table1[[#This Row],[Details]:[Details]]=$B32)/(Table1[[#This Row],[Details]:[Details]]=$B32)*(ROW(Table1[[Details]:[Details]])-ROW(Table1[[#Headers],[Details]])),COLUMNS($C$10:AO31))),"")</f>
        <v/>
      </c>
      <c r="AP32" t="str">
        <f>IF(COLUMNS($C$10:AP31)&lt;=$A32,INDEX(Table1[[PARTICULAR]:[PARTICULAR]],_xlfn.AGGREGATE(15,3,(Table1[[#This Row],[Details]:[Details]]=$B32)/(Table1[[#This Row],[Details]:[Details]]=$B32)*(ROW(Table1[[Details]:[Details]])-ROW(Table1[[#Headers],[Details]])),COLUMNS($C$10:AP31))),"")</f>
        <v/>
      </c>
      <c r="AQ32" t="str">
        <f>IF(COLUMNS($C$10:AQ31)&lt;=$A32,INDEX(Table1[[PARTICULAR]:[PARTICULAR]],_xlfn.AGGREGATE(15,3,(Table1[[#This Row],[Details]:[Details]]=$B32)/(Table1[[#This Row],[Details]:[Details]]=$B32)*(ROW(Table1[[Details]:[Details]])-ROW(Table1[[#Headers],[Details]])),COLUMNS($C$10:AQ31))),"")</f>
        <v/>
      </c>
      <c r="AR32" t="str">
        <f>IF(COLUMNS($C$10:AR31)&lt;=$A32,INDEX(Table1[[PARTICULAR]:[PARTICULAR]],_xlfn.AGGREGATE(15,3,(Table1[[#This Row],[Details]:[Details]]=$B32)/(Table1[[#This Row],[Details]:[Details]]=$B32)*(ROW(Table1[[Details]:[Details]])-ROW(Table1[[#Headers],[Details]])),COLUMNS($C$10:AR31))),"")</f>
        <v/>
      </c>
      <c r="AS32" t="str">
        <f>IF(COLUMNS($C$10:AS31)&lt;=$A32,INDEX(Table1[[PARTICULAR]:[PARTICULAR]],_xlfn.AGGREGATE(15,3,(Table1[[#This Row],[Details]:[Details]]=$B32)/(Table1[[#This Row],[Details]:[Details]]=$B32)*(ROW(Table1[[Details]:[Details]])-ROW(Table1[[#Headers],[Details]])),COLUMNS($C$10:AS31))),"")</f>
        <v/>
      </c>
      <c r="AT32" t="str">
        <f>IF(COLUMNS($C$10:AT31)&lt;=$A32,INDEX(Table1[[PARTICULAR]:[PARTICULAR]],_xlfn.AGGREGATE(15,3,(Table1[[#This Row],[Details]:[Details]]=$B32)/(Table1[[#This Row],[Details]:[Details]]=$B32)*(ROW(Table1[[Details]:[Details]])-ROW(Table1[[#Headers],[Details]])),COLUMNS($C$10:AT31))),"")</f>
        <v/>
      </c>
      <c r="AU32" t="str">
        <f>IF(COLUMNS($C$10:AU31)&lt;=$A32,INDEX(Table1[[PARTICULAR]:[PARTICULAR]],_xlfn.AGGREGATE(15,3,(Table1[[#This Row],[Details]:[Details]]=$B32)/(Table1[[#This Row],[Details]:[Details]]=$B32)*(ROW(Table1[[Details]:[Details]])-ROW(Table1[[#Headers],[Details]])),COLUMNS($C$10:AU31))),"")</f>
        <v/>
      </c>
      <c r="AV32" t="str">
        <f>IF(COLUMNS($C$10:AV31)&lt;=$A32,INDEX(Table1[[PARTICULAR]:[PARTICULAR]],_xlfn.AGGREGATE(15,3,(Table1[[#This Row],[Details]:[Details]]=$B32)/(Table1[[#This Row],[Details]:[Details]]=$B32)*(ROW(Table1[[Details]:[Details]])-ROW(Table1[[#Headers],[Details]])),COLUMNS($C$10:AV31))),"")</f>
        <v/>
      </c>
      <c r="AW32" t="str">
        <f>IF(COLUMNS($C$10:AW31)&lt;=$A32,INDEX(Table1[[PARTICULAR]:[PARTICULAR]],_xlfn.AGGREGATE(15,3,(Table1[[#This Row],[Details]:[Details]]=$B32)/(Table1[[#This Row],[Details]:[Details]]=$B32)*(ROW(Table1[[Details]:[Details]])-ROW(Table1[[#Headers],[Details]])),COLUMNS($C$10:AW31))),"")</f>
        <v/>
      </c>
      <c r="AX32" t="str">
        <f>IF(COLUMNS($C$10:AX31)&lt;=$A32,INDEX(Table1[[PARTICULAR]:[PARTICULAR]],_xlfn.AGGREGATE(15,3,(Table1[[#This Row],[Details]:[Details]]=$B32)/(Table1[[#This Row],[Details]:[Details]]=$B32)*(ROW(Table1[[Details]:[Details]])-ROW(Table1[[#Headers],[Details]])),COLUMNS($C$10:AX31))),"")</f>
        <v/>
      </c>
      <c r="AY32" t="str">
        <f>IF(COLUMNS($C$10:AY31)&lt;=$A32,INDEX(Table1[[PARTICULAR]:[PARTICULAR]],_xlfn.AGGREGATE(15,3,(Table1[[#This Row],[Details]:[Details]]=$B32)/(Table1[[#This Row],[Details]:[Details]]=$B32)*(ROW(Table1[[Details]:[Details]])-ROW(Table1[[#Headers],[Details]])),COLUMNS($C$10:AY31))),"")</f>
        <v/>
      </c>
      <c r="AZ32" t="str">
        <f>IF(COLUMNS($C$10:AZ31)&lt;=$A32,INDEX(Table1[[PARTICULAR]:[PARTICULAR]],_xlfn.AGGREGATE(15,3,(Table1[[#This Row],[Details]:[Details]]=$B32)/(Table1[[#This Row],[Details]:[Details]]=$B32)*(ROW(Table1[[Details]:[Details]])-ROW(Table1[[#Headers],[Details]])),COLUMNS($C$10:AZ31))),"")</f>
        <v/>
      </c>
      <c r="BA32" t="str">
        <f>IF(COLUMNS($C$10:BA31)&lt;=$A32,INDEX(Table1[[PARTICULAR]:[PARTICULAR]],_xlfn.AGGREGATE(15,3,(Table1[[#This Row],[Details]:[Details]]=$B32)/(Table1[[#This Row],[Details]:[Details]]=$B32)*(ROW(Table1[[Details]:[Details]])-ROW(Table1[[#Headers],[Details]])),COLUMNS($C$10:BA31))),"")</f>
        <v/>
      </c>
      <c r="BB32" t="str">
        <f>IF(COLUMNS($C$10:BB31)&lt;=$A32,INDEX(Table1[[PARTICULAR]:[PARTICULAR]],_xlfn.AGGREGATE(15,3,(Table1[[#This Row],[Details]:[Details]]=$B32)/(Table1[[#This Row],[Details]:[Details]]=$B32)*(ROW(Table1[[Details]:[Details]])-ROW(Table1[[#Headers],[Details]])),COLUMNS($C$10:BB31))),"")</f>
        <v/>
      </c>
      <c r="BC32" t="str">
        <f>IF(COLUMNS($C$10:BC31)&lt;=$A32,INDEX(Table1[[PARTICULAR]:[PARTICULAR]],_xlfn.AGGREGATE(15,3,(Table1[[#This Row],[Details]:[Details]]=$B32)/(Table1[[#This Row],[Details]:[Details]]=$B32)*(ROW(Table1[[Details]:[Details]])-ROW(Table1[[#Headers],[Details]])),COLUMNS($C$10:BC31))),"")</f>
        <v/>
      </c>
      <c r="BD32" t="str">
        <f>IF(COLUMNS($C$10:BD31)&lt;=$A32,INDEX(Table1[[PARTICULAR]:[PARTICULAR]],_xlfn.AGGREGATE(15,3,(Table1[[#This Row],[Details]:[Details]]=$B32)/(Table1[[#This Row],[Details]:[Details]]=$B32)*(ROW(Table1[[Details]:[Details]])-ROW(Table1[[#Headers],[Details]])),COLUMNS($C$10:BD31))),"")</f>
        <v/>
      </c>
      <c r="BE32" t="str">
        <f>IF(COLUMNS($C$10:BE31)&lt;=$A32,INDEX(Table1[[PARTICULAR]:[PARTICULAR]],_xlfn.AGGREGATE(15,3,(Table1[[#This Row],[Details]:[Details]]=$B32)/(Table1[[#This Row],[Details]:[Details]]=$B32)*(ROW(Table1[[Details]:[Details]])-ROW(Table1[[#Headers],[Details]])),COLUMNS($C$10:BE31))),"")</f>
        <v/>
      </c>
      <c r="BF32" t="str">
        <f>IF(COLUMNS($C$10:BF31)&lt;=$A32,INDEX(Table1[[PARTICULAR]:[PARTICULAR]],_xlfn.AGGREGATE(15,3,(Table1[[#This Row],[Details]:[Details]]=$B32)/(Table1[[#This Row],[Details]:[Details]]=$B32)*(ROW(Table1[[Details]:[Details]])-ROW(Table1[[#Headers],[Details]])),COLUMNS($C$10:BF31))),"")</f>
        <v/>
      </c>
      <c r="BG32" t="str">
        <f>IF(COLUMNS($C$10:BG31)&lt;=$A32,INDEX(Table1[[PARTICULAR]:[PARTICULAR]],_xlfn.AGGREGATE(15,3,(Table1[[#This Row],[Details]:[Details]]=$B32)/(Table1[[#This Row],[Details]:[Details]]=$B32)*(ROW(Table1[[Details]:[Details]])-ROW(Table1[[#Headers],[Details]])),COLUMNS($C$10:BG31))),"")</f>
        <v/>
      </c>
      <c r="BH32" t="str">
        <f>IF(COLUMNS($C$10:BH31)&lt;=$A32,INDEX(Table1[[PARTICULAR]:[PARTICULAR]],_xlfn.AGGREGATE(15,3,(Table1[[#This Row],[Details]:[Details]]=$B32)/(Table1[[#This Row],[Details]:[Details]]=$B32)*(ROW(Table1[[Details]:[Details]])-ROW(Table1[[#Headers],[Details]])),COLUMNS($C$10:BH31))),"")</f>
        <v/>
      </c>
      <c r="BI32" t="str">
        <f>IF(COLUMNS($C$10:BI31)&lt;=$A32,INDEX(Table1[[PARTICULAR]:[PARTICULAR]],_xlfn.AGGREGATE(15,3,(Table1[[#This Row],[Details]:[Details]]=$B32)/(Table1[[#This Row],[Details]:[Details]]=$B32)*(ROW(Table1[[Details]:[Details]])-ROW(Table1[[#Headers],[Details]])),COLUMNS($C$10:BI31))),"")</f>
        <v/>
      </c>
      <c r="BJ32" t="str">
        <f>IF(COLUMNS($C$10:BJ31)&lt;=$A32,INDEX(Table1[[PARTICULAR]:[PARTICULAR]],_xlfn.AGGREGATE(15,3,(Table1[[#This Row],[Details]:[Details]]=$B32)/(Table1[[#This Row],[Details]:[Details]]=$B32)*(ROW(Table1[[Details]:[Details]])-ROW(Table1[[#Headers],[Details]])),COLUMNS($C$10:BJ31))),"")</f>
        <v/>
      </c>
      <c r="BK32" t="str">
        <f>IF(COLUMNS($C$10:BK31)&lt;=$A32,INDEX(Table1[[PARTICULAR]:[PARTICULAR]],_xlfn.AGGREGATE(15,3,(Table1[[#This Row],[Details]:[Details]]=$B32)/(Table1[[#This Row],[Details]:[Details]]=$B32)*(ROW(Table1[[Details]:[Details]])-ROW(Table1[[#Headers],[Details]])),COLUMNS($C$10:BK31))),"")</f>
        <v/>
      </c>
      <c r="BL32" t="str">
        <f>IF(COLUMNS($C$10:BL31)&lt;=$A32,INDEX(Table1[[PARTICULAR]:[PARTICULAR]],_xlfn.AGGREGATE(15,3,(Table1[[#This Row],[Details]:[Details]]=$B32)/(Table1[[#This Row],[Details]:[Details]]=$B32)*(ROW(Table1[[Details]:[Details]])-ROW(Table1[[#Headers],[Details]])),COLUMNS($C$10:BL31))),"")</f>
        <v/>
      </c>
      <c r="BM32" t="str">
        <f>IF(COLUMNS($C$10:BM31)&lt;=$A32,INDEX(Table1[[PARTICULAR]:[PARTICULAR]],_xlfn.AGGREGATE(15,3,(Table1[[#This Row],[Details]:[Details]]=$B32)/(Table1[[#This Row],[Details]:[Details]]=$B32)*(ROW(Table1[[Details]:[Details]])-ROW(Table1[[#Headers],[Details]])),COLUMNS($C$10:BM31))),"")</f>
        <v/>
      </c>
      <c r="BN32" t="str">
        <f>IF(COLUMNS($C$10:BN31)&lt;=$A32,INDEX(Table1[[PARTICULAR]:[PARTICULAR]],_xlfn.AGGREGATE(15,3,(Table1[[#This Row],[Details]:[Details]]=$B32)/(Table1[[#This Row],[Details]:[Details]]=$B32)*(ROW(Table1[[Details]:[Details]])-ROW(Table1[[#Headers],[Details]])),COLUMNS($C$10:BN31))),"")</f>
        <v/>
      </c>
      <c r="BO32" t="str">
        <f>IF(COLUMNS($C$10:BO31)&lt;=$A32,INDEX(Table1[[PARTICULAR]:[PARTICULAR]],_xlfn.AGGREGATE(15,3,(Table1[[#This Row],[Details]:[Details]]=$B32)/(Table1[[#This Row],[Details]:[Details]]=$B32)*(ROW(Table1[[Details]:[Details]])-ROW(Table1[[#Headers],[Details]])),COLUMNS($C$10:BO31))),"")</f>
        <v/>
      </c>
      <c r="BP32" t="str">
        <f>IF(COLUMNS($C$10:BP31)&lt;=$A32,INDEX(Table1[[PARTICULAR]:[PARTICULAR]],_xlfn.AGGREGATE(15,3,(Table1[[#This Row],[Details]:[Details]]=$B32)/(Table1[[#This Row],[Details]:[Details]]=$B32)*(ROW(Table1[[Details]:[Details]])-ROW(Table1[[#Headers],[Details]])),COLUMNS($C$10:BP31))),"")</f>
        <v/>
      </c>
      <c r="BQ32" t="str">
        <f>IF(COLUMNS($C$10:BQ31)&lt;=$A32,INDEX(Table1[[PARTICULAR]:[PARTICULAR]],_xlfn.AGGREGATE(15,3,(Table1[[#This Row],[Details]:[Details]]=$B32)/(Table1[[#This Row],[Details]:[Details]]=$B32)*(ROW(Table1[[Details]:[Details]])-ROW(Table1[[#Headers],[Details]])),COLUMNS($C$10:BQ31))),"")</f>
        <v/>
      </c>
      <c r="BR32" t="str">
        <f>IF(COLUMNS($C$10:BR31)&lt;=$A32,INDEX(Table1[[PARTICULAR]:[PARTICULAR]],_xlfn.AGGREGATE(15,3,(Table1[[#This Row],[Details]:[Details]]=$B32)/(Table1[[#This Row],[Details]:[Details]]=$B32)*(ROW(Table1[[Details]:[Details]])-ROW(Table1[[#Headers],[Details]])),COLUMNS($C$10:BR31))),"")</f>
        <v/>
      </c>
      <c r="BS32" t="str">
        <f>IF(COLUMNS($C$10:BS31)&lt;=$A32,INDEX(Table1[[PARTICULAR]:[PARTICULAR]],_xlfn.AGGREGATE(15,3,(Table1[[#This Row],[Details]:[Details]]=$B32)/(Table1[[#This Row],[Details]:[Details]]=$B32)*(ROW(Table1[[Details]:[Details]])-ROW(Table1[[#Headers],[Details]])),COLUMNS($C$10:BS31))),"")</f>
        <v/>
      </c>
      <c r="BT32" t="str">
        <f>IF(COLUMNS($C$10:BT31)&lt;=$A32,INDEX(Table1[[PARTICULAR]:[PARTICULAR]],_xlfn.AGGREGATE(15,3,(Table1[[#This Row],[Details]:[Details]]=$B32)/(Table1[[#This Row],[Details]:[Details]]=$B32)*(ROW(Table1[[Details]:[Details]])-ROW(Table1[[#Headers],[Details]])),COLUMNS($C$10:BT31))),"")</f>
        <v/>
      </c>
      <c r="BU32" t="str">
        <f>IF(COLUMNS($C$10:BU31)&lt;=$A32,INDEX(Table1[[PARTICULAR]:[PARTICULAR]],_xlfn.AGGREGATE(15,3,(Table1[[#This Row],[Details]:[Details]]=$B32)/(Table1[[#This Row],[Details]:[Details]]=$B32)*(ROW(Table1[[Details]:[Details]])-ROW(Table1[[#Headers],[Details]])),COLUMNS($C$10:BU31))),"")</f>
        <v/>
      </c>
      <c r="BV32" t="str">
        <f>IF(COLUMNS($C$10:BV31)&lt;=$A32,INDEX(Table1[[PARTICULAR]:[PARTICULAR]],_xlfn.AGGREGATE(15,3,(Table1[[#This Row],[Details]:[Details]]=$B32)/(Table1[[#This Row],[Details]:[Details]]=$B32)*(ROW(Table1[[Details]:[Details]])-ROW(Table1[[#Headers],[Details]])),COLUMNS($C$10:BV31))),"")</f>
        <v/>
      </c>
      <c r="BW32" t="str">
        <f>IF(COLUMNS($C$10:BW31)&lt;=$A32,INDEX(Table1[[PARTICULAR]:[PARTICULAR]],_xlfn.AGGREGATE(15,3,(Table1[[#This Row],[Details]:[Details]]=$B32)/(Table1[[#This Row],[Details]:[Details]]=$B32)*(ROW(Table1[[Details]:[Details]])-ROW(Table1[[#Headers],[Details]])),COLUMNS($C$10:BW31))),"")</f>
        <v/>
      </c>
      <c r="BX32" t="str">
        <f>IF(COLUMNS($C$10:BX31)&lt;=$A32,INDEX(Table1[[PARTICULAR]:[PARTICULAR]],_xlfn.AGGREGATE(15,3,(Table1[[#This Row],[Details]:[Details]]=$B32)/(Table1[[#This Row],[Details]:[Details]]=$B32)*(ROW(Table1[[Details]:[Details]])-ROW(Table1[[#Headers],[Details]])),COLUMNS($C$10:BX31))),"")</f>
        <v/>
      </c>
      <c r="BY32" t="str">
        <f>IF(COLUMNS($C$10:BY31)&lt;=$A32,INDEX(Table1[[PARTICULAR]:[PARTICULAR]],_xlfn.AGGREGATE(15,3,(Table1[[#This Row],[Details]:[Details]]=$B32)/(Table1[[#This Row],[Details]:[Details]]=$B32)*(ROW(Table1[[Details]:[Details]])-ROW(Table1[[#Headers],[Details]])),COLUMNS($C$10:BY31))),"")</f>
        <v/>
      </c>
      <c r="BZ32" t="str">
        <f>IF(COLUMNS($C$10:BZ31)&lt;=$A32,INDEX(Table1[[PARTICULAR]:[PARTICULAR]],_xlfn.AGGREGATE(15,3,(Table1[[#This Row],[Details]:[Details]]=$B32)/(Table1[[#This Row],[Details]:[Details]]=$B32)*(ROW(Table1[[Details]:[Details]])-ROW(Table1[[#Headers],[Details]])),COLUMNS($C$10:BZ31))),"")</f>
        <v/>
      </c>
      <c r="CA32" t="str">
        <f>IF(COLUMNS($C$10:CA31)&lt;=$A32,INDEX(Table1[[PARTICULAR]:[PARTICULAR]],_xlfn.AGGREGATE(15,3,(Table1[[#This Row],[Details]:[Details]]=$B32)/(Table1[[#This Row],[Details]:[Details]]=$B32)*(ROW(Table1[[Details]:[Details]])-ROW(Table1[[#Headers],[Details]])),COLUMNS($C$10:CA31))),"")</f>
        <v/>
      </c>
      <c r="CB32" t="str">
        <f>IF(COLUMNS($C$10:CB31)&lt;=$A32,INDEX(Table1[[PARTICULAR]:[PARTICULAR]],_xlfn.AGGREGATE(15,3,(Table1[[#This Row],[Details]:[Details]]=$B32)/(Table1[[#This Row],[Details]:[Details]]=$B32)*(ROW(Table1[[Details]:[Details]])-ROW(Table1[[#Headers],[Details]])),COLUMNS($C$10:CB31))),"")</f>
        <v/>
      </c>
    </row>
    <row r="33" spans="1:80">
      <c r="A33">
        <f>COUNTIF(Table1[Details],B33)</f>
        <v>1</v>
      </c>
      <c r="B33" s="97" t="str">
        <f>IFERROR(INDEX(Table1[Details],MATCH(0,INDEX(COUNTIF($B$10:B32,Table1[Details]),),0)),"")</f>
        <v>Photography</v>
      </c>
      <c r="C33" t="str">
        <f>IF(COLUMNS($C$10:C32)&lt;=$A33,INDEX(Table1[[PARTICULAR]:[PARTICULAR]],_xlfn.AGGREGATE(15,3,(Table1[[#This Row],[Details]:[Details]]=$B33)/(Table1[[#This Row],[Details]:[Details]]=$B33)*(ROW(Table1[[Details]:[Details]])-ROW(Table1[[#Headers],[Details]])),COLUMNS($C$10:C32))),"")</f>
        <v>PHOTOGRAPHY FEE</v>
      </c>
      <c r="D33" t="str">
        <f>IF(COLUMNS($C$10:D32)&lt;=$A33,INDEX(Table1[[PARTICULAR]:[PARTICULAR]],_xlfn.AGGREGATE(15,3,(Table1[[#This Row],[Details]:[Details]]=$B33)/(Table1[[#This Row],[Details]:[Details]]=$B33)*(ROW(Table1[[Details]:[Details]])-ROW(Table1[[#Headers],[Details]])),COLUMNS($C$10:D32))),"")</f>
        <v/>
      </c>
      <c r="E33" t="str">
        <f>IF(COLUMNS($C$10:E32)&lt;=$A33,INDEX(Table1[[PARTICULAR]:[PARTICULAR]],_xlfn.AGGREGATE(15,3,(Table1[[#This Row],[Details]:[Details]]=$B33)/(Table1[[#This Row],[Details]:[Details]]=$B33)*(ROW(Table1[[Details]:[Details]])-ROW(Table1[[#Headers],[Details]])),COLUMNS($C$10:E32))),"")</f>
        <v/>
      </c>
      <c r="F33" t="str">
        <f>IF(COLUMNS($C$10:F32)&lt;=$A33,INDEX(Table1[[PARTICULAR]:[PARTICULAR]],_xlfn.AGGREGATE(15,3,(Table1[[#This Row],[Details]:[Details]]=$B33)/(Table1[[#This Row],[Details]:[Details]]=$B33)*(ROW(Table1[[Details]:[Details]])-ROW(Table1[[#Headers],[Details]])),COLUMNS($C$10:F32))),"")</f>
        <v/>
      </c>
      <c r="G33" t="str">
        <f>IF(COLUMNS($C$10:G32)&lt;=$A33,INDEX(Table1[[PARTICULAR]:[PARTICULAR]],_xlfn.AGGREGATE(15,3,(Table1[[#This Row],[Details]:[Details]]=$B33)/(Table1[[#This Row],[Details]:[Details]]=$B33)*(ROW(Table1[[Details]:[Details]])-ROW(Table1[[#Headers],[Details]])),COLUMNS($C$10:G32))),"")</f>
        <v/>
      </c>
      <c r="H33" t="str">
        <f>IF(COLUMNS($C$10:H32)&lt;=$A33,INDEX(Table1[[PARTICULAR]:[PARTICULAR]],_xlfn.AGGREGATE(15,3,(Table1[[#This Row],[Details]:[Details]]=$B33)/(Table1[[#This Row],[Details]:[Details]]=$B33)*(ROW(Table1[[Details]:[Details]])-ROW(Table1[[#Headers],[Details]])),COLUMNS($C$10:H32))),"")</f>
        <v/>
      </c>
      <c r="I33" t="str">
        <f>IF(COLUMNS($C$10:I32)&lt;=$A33,INDEX(Table1[[PARTICULAR]:[PARTICULAR]],_xlfn.AGGREGATE(15,3,(Table1[[#This Row],[Details]:[Details]]=$B33)/(Table1[[#This Row],[Details]:[Details]]=$B33)*(ROW(Table1[[Details]:[Details]])-ROW(Table1[[#Headers],[Details]])),COLUMNS($C$10:I32))),"")</f>
        <v/>
      </c>
      <c r="J33" t="str">
        <f>IF(COLUMNS($C$10:J32)&lt;=$A33,INDEX(Table1[[PARTICULAR]:[PARTICULAR]],_xlfn.AGGREGATE(15,3,(Table1[[#This Row],[Details]:[Details]]=$B33)/(Table1[[#This Row],[Details]:[Details]]=$B33)*(ROW(Table1[[Details]:[Details]])-ROW(Table1[[#Headers],[Details]])),COLUMNS($C$10:J32))),"")</f>
        <v/>
      </c>
      <c r="K33" t="str">
        <f>IF(COLUMNS($C$10:K32)&lt;=$A33,INDEX(Table1[[PARTICULAR]:[PARTICULAR]],_xlfn.AGGREGATE(15,3,(Table1[[#This Row],[Details]:[Details]]=$B33)/(Table1[[#This Row],[Details]:[Details]]=$B33)*(ROW(Table1[[Details]:[Details]])-ROW(Table1[[#Headers],[Details]])),COLUMNS($C$10:K32))),"")</f>
        <v/>
      </c>
      <c r="L33" t="str">
        <f>IF(COLUMNS($C$10:L32)&lt;=$A33,INDEX(Table1[[PARTICULAR]:[PARTICULAR]],_xlfn.AGGREGATE(15,3,(Table1[[#This Row],[Details]:[Details]]=$B33)/(Table1[[#This Row],[Details]:[Details]]=$B33)*(ROW(Table1[[Details]:[Details]])-ROW(Table1[[#Headers],[Details]])),COLUMNS($C$10:L32))),"")</f>
        <v/>
      </c>
      <c r="M33" t="str">
        <f>IF(COLUMNS($C$10:M32)&lt;=$A33,INDEX(Table1[[PARTICULAR]:[PARTICULAR]],_xlfn.AGGREGATE(15,3,(Table1[[#This Row],[Details]:[Details]]=$B33)/(Table1[[#This Row],[Details]:[Details]]=$B33)*(ROW(Table1[[Details]:[Details]])-ROW(Table1[[#Headers],[Details]])),COLUMNS($C$10:M32))),"")</f>
        <v/>
      </c>
      <c r="N33" t="str">
        <f>IF(COLUMNS($C$10:N32)&lt;=$A33,INDEX(Table1[[PARTICULAR]:[PARTICULAR]],_xlfn.AGGREGATE(15,3,(Table1[[#This Row],[Details]:[Details]]=$B33)/(Table1[[#This Row],[Details]:[Details]]=$B33)*(ROW(Table1[[Details]:[Details]])-ROW(Table1[[#Headers],[Details]])),COLUMNS($C$10:N32))),"")</f>
        <v/>
      </c>
      <c r="O33" t="str">
        <f>IF(COLUMNS($C$10:O32)&lt;=$A33,INDEX(Table1[[PARTICULAR]:[PARTICULAR]],_xlfn.AGGREGATE(15,3,(Table1[[#This Row],[Details]:[Details]]=$B33)/(Table1[[#This Row],[Details]:[Details]]=$B33)*(ROW(Table1[[Details]:[Details]])-ROW(Table1[[#Headers],[Details]])),COLUMNS($C$10:O32))),"")</f>
        <v/>
      </c>
      <c r="P33" t="str">
        <f>IF(COLUMNS($C$10:P32)&lt;=$A33,INDEX(Table1[[PARTICULAR]:[PARTICULAR]],_xlfn.AGGREGATE(15,3,(Table1[[#This Row],[Details]:[Details]]=$B33)/(Table1[[#This Row],[Details]:[Details]]=$B33)*(ROW(Table1[[Details]:[Details]])-ROW(Table1[[#Headers],[Details]])),COLUMNS($C$10:P32))),"")</f>
        <v/>
      </c>
      <c r="Q33" t="str">
        <f>IF(COLUMNS($C$10:Q32)&lt;=$A33,INDEX(Table1[[PARTICULAR]:[PARTICULAR]],_xlfn.AGGREGATE(15,3,(Table1[[#This Row],[Details]:[Details]]=$B33)/(Table1[[#This Row],[Details]:[Details]]=$B33)*(ROW(Table1[[Details]:[Details]])-ROW(Table1[[#Headers],[Details]])),COLUMNS($C$10:Q32))),"")</f>
        <v/>
      </c>
      <c r="R33" t="str">
        <f>IF(COLUMNS($C$10:R32)&lt;=$A33,INDEX(Table1[[PARTICULAR]:[PARTICULAR]],_xlfn.AGGREGATE(15,3,(Table1[[#This Row],[Details]:[Details]]=$B33)/(Table1[[#This Row],[Details]:[Details]]=$B33)*(ROW(Table1[[Details]:[Details]])-ROW(Table1[[#Headers],[Details]])),COLUMNS($C$10:R32))),"")</f>
        <v/>
      </c>
      <c r="S33" t="str">
        <f>IF(COLUMNS($C$10:S32)&lt;=$A33,INDEX(Table1[[PARTICULAR]:[PARTICULAR]],_xlfn.AGGREGATE(15,3,(Table1[[#This Row],[Details]:[Details]]=$B33)/(Table1[[#This Row],[Details]:[Details]]=$B33)*(ROW(Table1[[Details]:[Details]])-ROW(Table1[[#Headers],[Details]])),COLUMNS($C$10:S32))),"")</f>
        <v/>
      </c>
      <c r="T33" t="str">
        <f>IF(COLUMNS($C$10:T32)&lt;=$A33,INDEX(Table1[[PARTICULAR]:[PARTICULAR]],_xlfn.AGGREGATE(15,3,(Table1[[#This Row],[Details]:[Details]]=$B33)/(Table1[[#This Row],[Details]:[Details]]=$B33)*(ROW(Table1[[Details]:[Details]])-ROW(Table1[[#Headers],[Details]])),COLUMNS($C$10:T32))),"")</f>
        <v/>
      </c>
      <c r="U33" t="str">
        <f>IF(COLUMNS($C$10:U32)&lt;=$A33,INDEX(Table1[[PARTICULAR]:[PARTICULAR]],_xlfn.AGGREGATE(15,3,(Table1[[#This Row],[Details]:[Details]]=$B33)/(Table1[[#This Row],[Details]:[Details]]=$B33)*(ROW(Table1[[Details]:[Details]])-ROW(Table1[[#Headers],[Details]])),COLUMNS($C$10:U32))),"")</f>
        <v/>
      </c>
      <c r="V33" t="str">
        <f>IF(COLUMNS($C$10:V32)&lt;=$A33,INDEX(Table1[[PARTICULAR]:[PARTICULAR]],_xlfn.AGGREGATE(15,3,(Table1[[#This Row],[Details]:[Details]]=$B33)/(Table1[[#This Row],[Details]:[Details]]=$B33)*(ROW(Table1[[Details]:[Details]])-ROW(Table1[[#Headers],[Details]])),COLUMNS($C$10:V32))),"")</f>
        <v/>
      </c>
      <c r="W33" t="str">
        <f>IF(COLUMNS($C$10:W32)&lt;=$A33,INDEX(Table1[[PARTICULAR]:[PARTICULAR]],_xlfn.AGGREGATE(15,3,(Table1[[#This Row],[Details]:[Details]]=$B33)/(Table1[[#This Row],[Details]:[Details]]=$B33)*(ROW(Table1[[Details]:[Details]])-ROW(Table1[[#Headers],[Details]])),COLUMNS($C$10:W32))),"")</f>
        <v/>
      </c>
      <c r="X33" t="str">
        <f>IF(COLUMNS($C$10:X32)&lt;=$A33,INDEX(Table1[[PARTICULAR]:[PARTICULAR]],_xlfn.AGGREGATE(15,3,(Table1[[#This Row],[Details]:[Details]]=$B33)/(Table1[[#This Row],[Details]:[Details]]=$B33)*(ROW(Table1[[Details]:[Details]])-ROW(Table1[[#Headers],[Details]])),COLUMNS($C$10:X32))),"")</f>
        <v/>
      </c>
      <c r="Y33" t="str">
        <f>IF(COLUMNS($C$10:Y32)&lt;=$A33,INDEX(Table1[[PARTICULAR]:[PARTICULAR]],_xlfn.AGGREGATE(15,3,(Table1[[#This Row],[Details]:[Details]]=$B33)/(Table1[[#This Row],[Details]:[Details]]=$B33)*(ROW(Table1[[Details]:[Details]])-ROW(Table1[[#Headers],[Details]])),COLUMNS($C$10:Y32))),"")</f>
        <v/>
      </c>
      <c r="Z33" t="str">
        <f>IF(COLUMNS($C$10:Z32)&lt;=$A33,INDEX(Table1[[PARTICULAR]:[PARTICULAR]],_xlfn.AGGREGATE(15,3,(Table1[[#This Row],[Details]:[Details]]=$B33)/(Table1[[#This Row],[Details]:[Details]]=$B33)*(ROW(Table1[[Details]:[Details]])-ROW(Table1[[#Headers],[Details]])),COLUMNS($C$10:Z32))),"")</f>
        <v/>
      </c>
      <c r="AA33" t="str">
        <f>IF(COLUMNS($C$10:AA32)&lt;=$A33,INDEX(Table1[[PARTICULAR]:[PARTICULAR]],_xlfn.AGGREGATE(15,3,(Table1[[#This Row],[Details]:[Details]]=$B33)/(Table1[[#This Row],[Details]:[Details]]=$B33)*(ROW(Table1[[Details]:[Details]])-ROW(Table1[[#Headers],[Details]])),COLUMNS($C$10:AA32))),"")</f>
        <v/>
      </c>
      <c r="AB33" t="str">
        <f>IF(COLUMNS($C$10:AB32)&lt;=$A33,INDEX(Table1[[PARTICULAR]:[PARTICULAR]],_xlfn.AGGREGATE(15,3,(Table1[[#This Row],[Details]:[Details]]=$B33)/(Table1[[#This Row],[Details]:[Details]]=$B33)*(ROW(Table1[[Details]:[Details]])-ROW(Table1[[#Headers],[Details]])),COLUMNS($C$10:AB32))),"")</f>
        <v/>
      </c>
      <c r="AC33" t="str">
        <f>IF(COLUMNS($C$10:AC32)&lt;=$A33,INDEX(Table1[[PARTICULAR]:[PARTICULAR]],_xlfn.AGGREGATE(15,3,(Table1[[#This Row],[Details]:[Details]]=$B33)/(Table1[[#This Row],[Details]:[Details]]=$B33)*(ROW(Table1[[Details]:[Details]])-ROW(Table1[[#Headers],[Details]])),COLUMNS($C$10:AC32))),"")</f>
        <v/>
      </c>
      <c r="AD33" t="str">
        <f>IF(COLUMNS($C$10:AD32)&lt;=$A33,INDEX(Table1[[PARTICULAR]:[PARTICULAR]],_xlfn.AGGREGATE(15,3,(Table1[[#This Row],[Details]:[Details]]=$B33)/(Table1[[#This Row],[Details]:[Details]]=$B33)*(ROW(Table1[[Details]:[Details]])-ROW(Table1[[#Headers],[Details]])),COLUMNS($C$10:AD32))),"")</f>
        <v/>
      </c>
      <c r="AE33" t="str">
        <f>IF(COLUMNS($C$10:AE32)&lt;=$A33,INDEX(Table1[[PARTICULAR]:[PARTICULAR]],_xlfn.AGGREGATE(15,3,(Table1[[#This Row],[Details]:[Details]]=$B33)/(Table1[[#This Row],[Details]:[Details]]=$B33)*(ROW(Table1[[Details]:[Details]])-ROW(Table1[[#Headers],[Details]])),COLUMNS($C$10:AE32))),"")</f>
        <v/>
      </c>
      <c r="AF33" t="str">
        <f>IF(COLUMNS($C$10:AF32)&lt;=$A33,INDEX(Table1[[PARTICULAR]:[PARTICULAR]],_xlfn.AGGREGATE(15,3,(Table1[[#This Row],[Details]:[Details]]=$B33)/(Table1[[#This Row],[Details]:[Details]]=$B33)*(ROW(Table1[[Details]:[Details]])-ROW(Table1[[#Headers],[Details]])),COLUMNS($C$10:AF32))),"")</f>
        <v/>
      </c>
      <c r="AG33" t="str">
        <f>IF(COLUMNS($C$10:AG32)&lt;=$A33,INDEX(Table1[[PARTICULAR]:[PARTICULAR]],_xlfn.AGGREGATE(15,3,(Table1[[#This Row],[Details]:[Details]]=$B33)/(Table1[[#This Row],[Details]:[Details]]=$B33)*(ROW(Table1[[Details]:[Details]])-ROW(Table1[[#Headers],[Details]])),COLUMNS($C$10:AG32))),"")</f>
        <v/>
      </c>
      <c r="AH33" t="str">
        <f>IF(COLUMNS($C$10:AH32)&lt;=$A33,INDEX(Table1[[PARTICULAR]:[PARTICULAR]],_xlfn.AGGREGATE(15,3,(Table1[[#This Row],[Details]:[Details]]=$B33)/(Table1[[#This Row],[Details]:[Details]]=$B33)*(ROW(Table1[[Details]:[Details]])-ROW(Table1[[#Headers],[Details]])),COLUMNS($C$10:AH32))),"")</f>
        <v/>
      </c>
      <c r="AI33" t="str">
        <f>IF(COLUMNS($C$10:AI32)&lt;=$A33,INDEX(Table1[[PARTICULAR]:[PARTICULAR]],_xlfn.AGGREGATE(15,3,(Table1[[#This Row],[Details]:[Details]]=$B33)/(Table1[[#This Row],[Details]:[Details]]=$B33)*(ROW(Table1[[Details]:[Details]])-ROW(Table1[[#Headers],[Details]])),COLUMNS($C$10:AI32))),"")</f>
        <v/>
      </c>
      <c r="AJ33" t="str">
        <f>IF(COLUMNS($C$10:AJ32)&lt;=$A33,INDEX(Table1[[PARTICULAR]:[PARTICULAR]],_xlfn.AGGREGATE(15,3,(Table1[[#This Row],[Details]:[Details]]=$B33)/(Table1[[#This Row],[Details]:[Details]]=$B33)*(ROW(Table1[[Details]:[Details]])-ROW(Table1[[#Headers],[Details]])),COLUMNS($C$10:AJ32))),"")</f>
        <v/>
      </c>
      <c r="AK33" t="str">
        <f>IF(COLUMNS($C$10:AK32)&lt;=$A33,INDEX(Table1[[PARTICULAR]:[PARTICULAR]],_xlfn.AGGREGATE(15,3,(Table1[[#This Row],[Details]:[Details]]=$B33)/(Table1[[#This Row],[Details]:[Details]]=$B33)*(ROW(Table1[[Details]:[Details]])-ROW(Table1[[#Headers],[Details]])),COLUMNS($C$10:AK32))),"")</f>
        <v/>
      </c>
      <c r="AL33" t="str">
        <f>IF(COLUMNS($C$10:AL32)&lt;=$A33,INDEX(Table1[[PARTICULAR]:[PARTICULAR]],_xlfn.AGGREGATE(15,3,(Table1[[#This Row],[Details]:[Details]]=$B33)/(Table1[[#This Row],[Details]:[Details]]=$B33)*(ROW(Table1[[Details]:[Details]])-ROW(Table1[[#Headers],[Details]])),COLUMNS($C$10:AL32))),"")</f>
        <v/>
      </c>
      <c r="AM33" t="str">
        <f>IF(COLUMNS($C$10:AM32)&lt;=$A33,INDEX(Table1[[PARTICULAR]:[PARTICULAR]],_xlfn.AGGREGATE(15,3,(Table1[[#This Row],[Details]:[Details]]=$B33)/(Table1[[#This Row],[Details]:[Details]]=$B33)*(ROW(Table1[[Details]:[Details]])-ROW(Table1[[#Headers],[Details]])),COLUMNS($C$10:AM32))),"")</f>
        <v/>
      </c>
      <c r="AN33" t="str">
        <f>IF(COLUMNS($C$10:AN32)&lt;=$A33,INDEX(Table1[[PARTICULAR]:[PARTICULAR]],_xlfn.AGGREGATE(15,3,(Table1[[#This Row],[Details]:[Details]]=$B33)/(Table1[[#This Row],[Details]:[Details]]=$B33)*(ROW(Table1[[Details]:[Details]])-ROW(Table1[[#Headers],[Details]])),COLUMNS($C$10:AN32))),"")</f>
        <v/>
      </c>
      <c r="AO33" t="str">
        <f>IF(COLUMNS($C$10:AO32)&lt;=$A33,INDEX(Table1[[PARTICULAR]:[PARTICULAR]],_xlfn.AGGREGATE(15,3,(Table1[[#This Row],[Details]:[Details]]=$B33)/(Table1[[#This Row],[Details]:[Details]]=$B33)*(ROW(Table1[[Details]:[Details]])-ROW(Table1[[#Headers],[Details]])),COLUMNS($C$10:AO32))),"")</f>
        <v/>
      </c>
      <c r="AP33" t="str">
        <f>IF(COLUMNS($C$10:AP32)&lt;=$A33,INDEX(Table1[[PARTICULAR]:[PARTICULAR]],_xlfn.AGGREGATE(15,3,(Table1[[#This Row],[Details]:[Details]]=$B33)/(Table1[[#This Row],[Details]:[Details]]=$B33)*(ROW(Table1[[Details]:[Details]])-ROW(Table1[[#Headers],[Details]])),COLUMNS($C$10:AP32))),"")</f>
        <v/>
      </c>
      <c r="AQ33" t="str">
        <f>IF(COLUMNS($C$10:AQ32)&lt;=$A33,INDEX(Table1[[PARTICULAR]:[PARTICULAR]],_xlfn.AGGREGATE(15,3,(Table1[[#This Row],[Details]:[Details]]=$B33)/(Table1[[#This Row],[Details]:[Details]]=$B33)*(ROW(Table1[[Details]:[Details]])-ROW(Table1[[#Headers],[Details]])),COLUMNS($C$10:AQ32))),"")</f>
        <v/>
      </c>
      <c r="AR33" t="str">
        <f>IF(COLUMNS($C$10:AR32)&lt;=$A33,INDEX(Table1[[PARTICULAR]:[PARTICULAR]],_xlfn.AGGREGATE(15,3,(Table1[[#This Row],[Details]:[Details]]=$B33)/(Table1[[#This Row],[Details]:[Details]]=$B33)*(ROW(Table1[[Details]:[Details]])-ROW(Table1[[#Headers],[Details]])),COLUMNS($C$10:AR32))),"")</f>
        <v/>
      </c>
      <c r="AS33" t="str">
        <f>IF(COLUMNS($C$10:AS32)&lt;=$A33,INDEX(Table1[[PARTICULAR]:[PARTICULAR]],_xlfn.AGGREGATE(15,3,(Table1[[#This Row],[Details]:[Details]]=$B33)/(Table1[[#This Row],[Details]:[Details]]=$B33)*(ROW(Table1[[Details]:[Details]])-ROW(Table1[[#Headers],[Details]])),COLUMNS($C$10:AS32))),"")</f>
        <v/>
      </c>
      <c r="AT33" t="str">
        <f>IF(COLUMNS($C$10:AT32)&lt;=$A33,INDEX(Table1[[PARTICULAR]:[PARTICULAR]],_xlfn.AGGREGATE(15,3,(Table1[[#This Row],[Details]:[Details]]=$B33)/(Table1[[#This Row],[Details]:[Details]]=$B33)*(ROW(Table1[[Details]:[Details]])-ROW(Table1[[#Headers],[Details]])),COLUMNS($C$10:AT32))),"")</f>
        <v/>
      </c>
      <c r="AU33" t="str">
        <f>IF(COLUMNS($C$10:AU32)&lt;=$A33,INDEX(Table1[[PARTICULAR]:[PARTICULAR]],_xlfn.AGGREGATE(15,3,(Table1[[#This Row],[Details]:[Details]]=$B33)/(Table1[[#This Row],[Details]:[Details]]=$B33)*(ROW(Table1[[Details]:[Details]])-ROW(Table1[[#Headers],[Details]])),COLUMNS($C$10:AU32))),"")</f>
        <v/>
      </c>
      <c r="AV33" t="str">
        <f>IF(COLUMNS($C$10:AV32)&lt;=$A33,INDEX(Table1[[PARTICULAR]:[PARTICULAR]],_xlfn.AGGREGATE(15,3,(Table1[[#This Row],[Details]:[Details]]=$B33)/(Table1[[#This Row],[Details]:[Details]]=$B33)*(ROW(Table1[[Details]:[Details]])-ROW(Table1[[#Headers],[Details]])),COLUMNS($C$10:AV32))),"")</f>
        <v/>
      </c>
      <c r="AW33" t="str">
        <f>IF(COLUMNS($C$10:AW32)&lt;=$A33,INDEX(Table1[[PARTICULAR]:[PARTICULAR]],_xlfn.AGGREGATE(15,3,(Table1[[#This Row],[Details]:[Details]]=$B33)/(Table1[[#This Row],[Details]:[Details]]=$B33)*(ROW(Table1[[Details]:[Details]])-ROW(Table1[[#Headers],[Details]])),COLUMNS($C$10:AW32))),"")</f>
        <v/>
      </c>
      <c r="AX33" t="str">
        <f>IF(COLUMNS($C$10:AX32)&lt;=$A33,INDEX(Table1[[PARTICULAR]:[PARTICULAR]],_xlfn.AGGREGATE(15,3,(Table1[[#This Row],[Details]:[Details]]=$B33)/(Table1[[#This Row],[Details]:[Details]]=$B33)*(ROW(Table1[[Details]:[Details]])-ROW(Table1[[#Headers],[Details]])),COLUMNS($C$10:AX32))),"")</f>
        <v/>
      </c>
      <c r="AY33" t="str">
        <f>IF(COLUMNS($C$10:AY32)&lt;=$A33,INDEX(Table1[[PARTICULAR]:[PARTICULAR]],_xlfn.AGGREGATE(15,3,(Table1[[#This Row],[Details]:[Details]]=$B33)/(Table1[[#This Row],[Details]:[Details]]=$B33)*(ROW(Table1[[Details]:[Details]])-ROW(Table1[[#Headers],[Details]])),COLUMNS($C$10:AY32))),"")</f>
        <v/>
      </c>
      <c r="AZ33" t="str">
        <f>IF(COLUMNS($C$10:AZ32)&lt;=$A33,INDEX(Table1[[PARTICULAR]:[PARTICULAR]],_xlfn.AGGREGATE(15,3,(Table1[[#This Row],[Details]:[Details]]=$B33)/(Table1[[#This Row],[Details]:[Details]]=$B33)*(ROW(Table1[[Details]:[Details]])-ROW(Table1[[#Headers],[Details]])),COLUMNS($C$10:AZ32))),"")</f>
        <v/>
      </c>
      <c r="BA33" t="str">
        <f>IF(COLUMNS($C$10:BA32)&lt;=$A33,INDEX(Table1[[PARTICULAR]:[PARTICULAR]],_xlfn.AGGREGATE(15,3,(Table1[[#This Row],[Details]:[Details]]=$B33)/(Table1[[#This Row],[Details]:[Details]]=$B33)*(ROW(Table1[[Details]:[Details]])-ROW(Table1[[#Headers],[Details]])),COLUMNS($C$10:BA32))),"")</f>
        <v/>
      </c>
      <c r="BB33" t="str">
        <f>IF(COLUMNS($C$10:BB32)&lt;=$A33,INDEX(Table1[[PARTICULAR]:[PARTICULAR]],_xlfn.AGGREGATE(15,3,(Table1[[#This Row],[Details]:[Details]]=$B33)/(Table1[[#This Row],[Details]:[Details]]=$B33)*(ROW(Table1[[Details]:[Details]])-ROW(Table1[[#Headers],[Details]])),COLUMNS($C$10:BB32))),"")</f>
        <v/>
      </c>
      <c r="BC33" t="str">
        <f>IF(COLUMNS($C$10:BC32)&lt;=$A33,INDEX(Table1[[PARTICULAR]:[PARTICULAR]],_xlfn.AGGREGATE(15,3,(Table1[[#This Row],[Details]:[Details]]=$B33)/(Table1[[#This Row],[Details]:[Details]]=$B33)*(ROW(Table1[[Details]:[Details]])-ROW(Table1[[#Headers],[Details]])),COLUMNS($C$10:BC32))),"")</f>
        <v/>
      </c>
      <c r="BD33" t="str">
        <f>IF(COLUMNS($C$10:BD32)&lt;=$A33,INDEX(Table1[[PARTICULAR]:[PARTICULAR]],_xlfn.AGGREGATE(15,3,(Table1[[#This Row],[Details]:[Details]]=$B33)/(Table1[[#This Row],[Details]:[Details]]=$B33)*(ROW(Table1[[Details]:[Details]])-ROW(Table1[[#Headers],[Details]])),COLUMNS($C$10:BD32))),"")</f>
        <v/>
      </c>
      <c r="BE33" t="str">
        <f>IF(COLUMNS($C$10:BE32)&lt;=$A33,INDEX(Table1[[PARTICULAR]:[PARTICULAR]],_xlfn.AGGREGATE(15,3,(Table1[[#This Row],[Details]:[Details]]=$B33)/(Table1[[#This Row],[Details]:[Details]]=$B33)*(ROW(Table1[[Details]:[Details]])-ROW(Table1[[#Headers],[Details]])),COLUMNS($C$10:BE32))),"")</f>
        <v/>
      </c>
      <c r="BF33" t="str">
        <f>IF(COLUMNS($C$10:BF32)&lt;=$A33,INDEX(Table1[[PARTICULAR]:[PARTICULAR]],_xlfn.AGGREGATE(15,3,(Table1[[#This Row],[Details]:[Details]]=$B33)/(Table1[[#This Row],[Details]:[Details]]=$B33)*(ROW(Table1[[Details]:[Details]])-ROW(Table1[[#Headers],[Details]])),COLUMNS($C$10:BF32))),"")</f>
        <v/>
      </c>
      <c r="BG33" t="str">
        <f>IF(COLUMNS($C$10:BG32)&lt;=$A33,INDEX(Table1[[PARTICULAR]:[PARTICULAR]],_xlfn.AGGREGATE(15,3,(Table1[[#This Row],[Details]:[Details]]=$B33)/(Table1[[#This Row],[Details]:[Details]]=$B33)*(ROW(Table1[[Details]:[Details]])-ROW(Table1[[#Headers],[Details]])),COLUMNS($C$10:BG32))),"")</f>
        <v/>
      </c>
      <c r="BH33" t="str">
        <f>IF(COLUMNS($C$10:BH32)&lt;=$A33,INDEX(Table1[[PARTICULAR]:[PARTICULAR]],_xlfn.AGGREGATE(15,3,(Table1[[#This Row],[Details]:[Details]]=$B33)/(Table1[[#This Row],[Details]:[Details]]=$B33)*(ROW(Table1[[Details]:[Details]])-ROW(Table1[[#Headers],[Details]])),COLUMNS($C$10:BH32))),"")</f>
        <v/>
      </c>
      <c r="BI33" t="str">
        <f>IF(COLUMNS($C$10:BI32)&lt;=$A33,INDEX(Table1[[PARTICULAR]:[PARTICULAR]],_xlfn.AGGREGATE(15,3,(Table1[[#This Row],[Details]:[Details]]=$B33)/(Table1[[#This Row],[Details]:[Details]]=$B33)*(ROW(Table1[[Details]:[Details]])-ROW(Table1[[#Headers],[Details]])),COLUMNS($C$10:BI32))),"")</f>
        <v/>
      </c>
      <c r="BJ33" t="str">
        <f>IF(COLUMNS($C$10:BJ32)&lt;=$A33,INDEX(Table1[[PARTICULAR]:[PARTICULAR]],_xlfn.AGGREGATE(15,3,(Table1[[#This Row],[Details]:[Details]]=$B33)/(Table1[[#This Row],[Details]:[Details]]=$B33)*(ROW(Table1[[Details]:[Details]])-ROW(Table1[[#Headers],[Details]])),COLUMNS($C$10:BJ32))),"")</f>
        <v/>
      </c>
      <c r="BK33" t="str">
        <f>IF(COLUMNS($C$10:BK32)&lt;=$A33,INDEX(Table1[[PARTICULAR]:[PARTICULAR]],_xlfn.AGGREGATE(15,3,(Table1[[#This Row],[Details]:[Details]]=$B33)/(Table1[[#This Row],[Details]:[Details]]=$B33)*(ROW(Table1[[Details]:[Details]])-ROW(Table1[[#Headers],[Details]])),COLUMNS($C$10:BK32))),"")</f>
        <v/>
      </c>
      <c r="BL33" t="str">
        <f>IF(COLUMNS($C$10:BL32)&lt;=$A33,INDEX(Table1[[PARTICULAR]:[PARTICULAR]],_xlfn.AGGREGATE(15,3,(Table1[[#This Row],[Details]:[Details]]=$B33)/(Table1[[#This Row],[Details]:[Details]]=$B33)*(ROW(Table1[[Details]:[Details]])-ROW(Table1[[#Headers],[Details]])),COLUMNS($C$10:BL32))),"")</f>
        <v/>
      </c>
      <c r="BM33" t="str">
        <f>IF(COLUMNS($C$10:BM32)&lt;=$A33,INDEX(Table1[[PARTICULAR]:[PARTICULAR]],_xlfn.AGGREGATE(15,3,(Table1[[#This Row],[Details]:[Details]]=$B33)/(Table1[[#This Row],[Details]:[Details]]=$B33)*(ROW(Table1[[Details]:[Details]])-ROW(Table1[[#Headers],[Details]])),COLUMNS($C$10:BM32))),"")</f>
        <v/>
      </c>
      <c r="BN33" t="str">
        <f>IF(COLUMNS($C$10:BN32)&lt;=$A33,INDEX(Table1[[PARTICULAR]:[PARTICULAR]],_xlfn.AGGREGATE(15,3,(Table1[[#This Row],[Details]:[Details]]=$B33)/(Table1[[#This Row],[Details]:[Details]]=$B33)*(ROW(Table1[[Details]:[Details]])-ROW(Table1[[#Headers],[Details]])),COLUMNS($C$10:BN32))),"")</f>
        <v/>
      </c>
      <c r="BO33" t="str">
        <f>IF(COLUMNS($C$10:BO32)&lt;=$A33,INDEX(Table1[[PARTICULAR]:[PARTICULAR]],_xlfn.AGGREGATE(15,3,(Table1[[#This Row],[Details]:[Details]]=$B33)/(Table1[[#This Row],[Details]:[Details]]=$B33)*(ROW(Table1[[Details]:[Details]])-ROW(Table1[[#Headers],[Details]])),COLUMNS($C$10:BO32))),"")</f>
        <v/>
      </c>
      <c r="BP33" t="str">
        <f>IF(COLUMNS($C$10:BP32)&lt;=$A33,INDEX(Table1[[PARTICULAR]:[PARTICULAR]],_xlfn.AGGREGATE(15,3,(Table1[[#This Row],[Details]:[Details]]=$B33)/(Table1[[#This Row],[Details]:[Details]]=$B33)*(ROW(Table1[[Details]:[Details]])-ROW(Table1[[#Headers],[Details]])),COLUMNS($C$10:BP32))),"")</f>
        <v/>
      </c>
      <c r="BQ33" t="str">
        <f>IF(COLUMNS($C$10:BQ32)&lt;=$A33,INDEX(Table1[[PARTICULAR]:[PARTICULAR]],_xlfn.AGGREGATE(15,3,(Table1[[#This Row],[Details]:[Details]]=$B33)/(Table1[[#This Row],[Details]:[Details]]=$B33)*(ROW(Table1[[Details]:[Details]])-ROW(Table1[[#Headers],[Details]])),COLUMNS($C$10:BQ32))),"")</f>
        <v/>
      </c>
      <c r="BR33" t="str">
        <f>IF(COLUMNS($C$10:BR32)&lt;=$A33,INDEX(Table1[[PARTICULAR]:[PARTICULAR]],_xlfn.AGGREGATE(15,3,(Table1[[#This Row],[Details]:[Details]]=$B33)/(Table1[[#This Row],[Details]:[Details]]=$B33)*(ROW(Table1[[Details]:[Details]])-ROW(Table1[[#Headers],[Details]])),COLUMNS($C$10:BR32))),"")</f>
        <v/>
      </c>
      <c r="BS33" t="str">
        <f>IF(COLUMNS($C$10:BS32)&lt;=$A33,INDEX(Table1[[PARTICULAR]:[PARTICULAR]],_xlfn.AGGREGATE(15,3,(Table1[[#This Row],[Details]:[Details]]=$B33)/(Table1[[#This Row],[Details]:[Details]]=$B33)*(ROW(Table1[[Details]:[Details]])-ROW(Table1[[#Headers],[Details]])),COLUMNS($C$10:BS32))),"")</f>
        <v/>
      </c>
      <c r="BT33" t="str">
        <f>IF(COLUMNS($C$10:BT32)&lt;=$A33,INDEX(Table1[[PARTICULAR]:[PARTICULAR]],_xlfn.AGGREGATE(15,3,(Table1[[#This Row],[Details]:[Details]]=$B33)/(Table1[[#This Row],[Details]:[Details]]=$B33)*(ROW(Table1[[Details]:[Details]])-ROW(Table1[[#Headers],[Details]])),COLUMNS($C$10:BT32))),"")</f>
        <v/>
      </c>
      <c r="BU33" t="str">
        <f>IF(COLUMNS($C$10:BU32)&lt;=$A33,INDEX(Table1[[PARTICULAR]:[PARTICULAR]],_xlfn.AGGREGATE(15,3,(Table1[[#This Row],[Details]:[Details]]=$B33)/(Table1[[#This Row],[Details]:[Details]]=$B33)*(ROW(Table1[[Details]:[Details]])-ROW(Table1[[#Headers],[Details]])),COLUMNS($C$10:BU32))),"")</f>
        <v/>
      </c>
      <c r="BV33" t="str">
        <f>IF(COLUMNS($C$10:BV32)&lt;=$A33,INDEX(Table1[[PARTICULAR]:[PARTICULAR]],_xlfn.AGGREGATE(15,3,(Table1[[#This Row],[Details]:[Details]]=$B33)/(Table1[[#This Row],[Details]:[Details]]=$B33)*(ROW(Table1[[Details]:[Details]])-ROW(Table1[[#Headers],[Details]])),COLUMNS($C$10:BV32))),"")</f>
        <v/>
      </c>
      <c r="BW33" t="str">
        <f>IF(COLUMNS($C$10:BW32)&lt;=$A33,INDEX(Table1[[PARTICULAR]:[PARTICULAR]],_xlfn.AGGREGATE(15,3,(Table1[[#This Row],[Details]:[Details]]=$B33)/(Table1[[#This Row],[Details]:[Details]]=$B33)*(ROW(Table1[[Details]:[Details]])-ROW(Table1[[#Headers],[Details]])),COLUMNS($C$10:BW32))),"")</f>
        <v/>
      </c>
      <c r="BX33" t="str">
        <f>IF(COLUMNS($C$10:BX32)&lt;=$A33,INDEX(Table1[[PARTICULAR]:[PARTICULAR]],_xlfn.AGGREGATE(15,3,(Table1[[#This Row],[Details]:[Details]]=$B33)/(Table1[[#This Row],[Details]:[Details]]=$B33)*(ROW(Table1[[Details]:[Details]])-ROW(Table1[[#Headers],[Details]])),COLUMNS($C$10:BX32))),"")</f>
        <v/>
      </c>
      <c r="BY33" t="str">
        <f>IF(COLUMNS($C$10:BY32)&lt;=$A33,INDEX(Table1[[PARTICULAR]:[PARTICULAR]],_xlfn.AGGREGATE(15,3,(Table1[[#This Row],[Details]:[Details]]=$B33)/(Table1[[#This Row],[Details]:[Details]]=$B33)*(ROW(Table1[[Details]:[Details]])-ROW(Table1[[#Headers],[Details]])),COLUMNS($C$10:BY32))),"")</f>
        <v/>
      </c>
      <c r="BZ33" t="str">
        <f>IF(COLUMNS($C$10:BZ32)&lt;=$A33,INDEX(Table1[[PARTICULAR]:[PARTICULAR]],_xlfn.AGGREGATE(15,3,(Table1[[#This Row],[Details]:[Details]]=$B33)/(Table1[[#This Row],[Details]:[Details]]=$B33)*(ROW(Table1[[Details]:[Details]])-ROW(Table1[[#Headers],[Details]])),COLUMNS($C$10:BZ32))),"")</f>
        <v/>
      </c>
      <c r="CA33" t="str">
        <f>IF(COLUMNS($C$10:CA32)&lt;=$A33,INDEX(Table1[[PARTICULAR]:[PARTICULAR]],_xlfn.AGGREGATE(15,3,(Table1[[#This Row],[Details]:[Details]]=$B33)/(Table1[[#This Row],[Details]:[Details]]=$B33)*(ROW(Table1[[Details]:[Details]])-ROW(Table1[[#Headers],[Details]])),COLUMNS($C$10:CA32))),"")</f>
        <v/>
      </c>
      <c r="CB33" t="str">
        <f>IF(COLUMNS($C$10:CB32)&lt;=$A33,INDEX(Table1[[PARTICULAR]:[PARTICULAR]],_xlfn.AGGREGATE(15,3,(Table1[[#This Row],[Details]:[Details]]=$B33)/(Table1[[#This Row],[Details]:[Details]]=$B33)*(ROW(Table1[[Details]:[Details]])-ROW(Table1[[#Headers],[Details]])),COLUMNS($C$10:CB32))),"")</f>
        <v/>
      </c>
    </row>
    <row r="34" spans="1:80">
      <c r="A34">
        <f>COUNTIF(Table1[Details],B34)</f>
        <v>1</v>
      </c>
      <c r="B34" s="97" t="str">
        <f>IFERROR(INDEX(Table1[Details],MATCH(0,INDEX(COUNTIF($B$10:B33,Table1[Details]),),0)),"")</f>
        <v>T shirt</v>
      </c>
      <c r="C34" t="str">
        <f>IF(COLUMNS($C$10:C33)&lt;=$A34,INDEX(Table1[[PARTICULAR]:[PARTICULAR]],_xlfn.AGGREGATE(15,3,(Table1[[#This Row],[Details]:[Details]]=$B34)/(Table1[[#This Row],[Details]:[Details]]=$B34)*(ROW(Table1[[Details]:[Details]])-ROW(Table1[[#Headers],[Details]])),COLUMNS($C$10:C33))),"")</f>
        <v>T SHIRT</v>
      </c>
      <c r="D34" t="str">
        <f>IF(COLUMNS($C$10:D33)&lt;=$A34,INDEX(Table1[[PARTICULAR]:[PARTICULAR]],_xlfn.AGGREGATE(15,3,(Table1[[#This Row],[Details]:[Details]]=$B34)/(Table1[[#This Row],[Details]:[Details]]=$B34)*(ROW(Table1[[Details]:[Details]])-ROW(Table1[[#Headers],[Details]])),COLUMNS($C$10:D33))),"")</f>
        <v/>
      </c>
      <c r="E34" t="str">
        <f>IF(COLUMNS($C$10:E33)&lt;=$A34,INDEX(Table1[[PARTICULAR]:[PARTICULAR]],_xlfn.AGGREGATE(15,3,(Table1[[#This Row],[Details]:[Details]]=$B34)/(Table1[[#This Row],[Details]:[Details]]=$B34)*(ROW(Table1[[Details]:[Details]])-ROW(Table1[[#Headers],[Details]])),COLUMNS($C$10:E33))),"")</f>
        <v/>
      </c>
      <c r="F34" t="str">
        <f>IF(COLUMNS($C$10:F33)&lt;=$A34,INDEX(Table1[[PARTICULAR]:[PARTICULAR]],_xlfn.AGGREGATE(15,3,(Table1[[#This Row],[Details]:[Details]]=$B34)/(Table1[[#This Row],[Details]:[Details]]=$B34)*(ROW(Table1[[Details]:[Details]])-ROW(Table1[[#Headers],[Details]])),COLUMNS($C$10:F33))),"")</f>
        <v/>
      </c>
      <c r="G34" t="str">
        <f>IF(COLUMNS($C$10:G33)&lt;=$A34,INDEX(Table1[[PARTICULAR]:[PARTICULAR]],_xlfn.AGGREGATE(15,3,(Table1[[#This Row],[Details]:[Details]]=$B34)/(Table1[[#This Row],[Details]:[Details]]=$B34)*(ROW(Table1[[Details]:[Details]])-ROW(Table1[[#Headers],[Details]])),COLUMNS($C$10:G33))),"")</f>
        <v/>
      </c>
      <c r="H34" t="str">
        <f>IF(COLUMNS($C$10:H33)&lt;=$A34,INDEX(Table1[[PARTICULAR]:[PARTICULAR]],_xlfn.AGGREGATE(15,3,(Table1[[#This Row],[Details]:[Details]]=$B34)/(Table1[[#This Row],[Details]:[Details]]=$B34)*(ROW(Table1[[Details]:[Details]])-ROW(Table1[[#Headers],[Details]])),COLUMNS($C$10:H33))),"")</f>
        <v/>
      </c>
      <c r="I34" t="str">
        <f>IF(COLUMNS($C$10:I33)&lt;=$A34,INDEX(Table1[[PARTICULAR]:[PARTICULAR]],_xlfn.AGGREGATE(15,3,(Table1[[#This Row],[Details]:[Details]]=$B34)/(Table1[[#This Row],[Details]:[Details]]=$B34)*(ROW(Table1[[Details]:[Details]])-ROW(Table1[[#Headers],[Details]])),COLUMNS($C$10:I33))),"")</f>
        <v/>
      </c>
      <c r="J34" t="str">
        <f>IF(COLUMNS($C$10:J33)&lt;=$A34,INDEX(Table1[[PARTICULAR]:[PARTICULAR]],_xlfn.AGGREGATE(15,3,(Table1[[#This Row],[Details]:[Details]]=$B34)/(Table1[[#This Row],[Details]:[Details]]=$B34)*(ROW(Table1[[Details]:[Details]])-ROW(Table1[[#Headers],[Details]])),COLUMNS($C$10:J33))),"")</f>
        <v/>
      </c>
      <c r="K34" t="str">
        <f>IF(COLUMNS($C$10:K33)&lt;=$A34,INDEX(Table1[[PARTICULAR]:[PARTICULAR]],_xlfn.AGGREGATE(15,3,(Table1[[#This Row],[Details]:[Details]]=$B34)/(Table1[[#This Row],[Details]:[Details]]=$B34)*(ROW(Table1[[Details]:[Details]])-ROW(Table1[[#Headers],[Details]])),COLUMNS($C$10:K33))),"")</f>
        <v/>
      </c>
      <c r="L34" t="str">
        <f>IF(COLUMNS($C$10:L33)&lt;=$A34,INDEX(Table1[[PARTICULAR]:[PARTICULAR]],_xlfn.AGGREGATE(15,3,(Table1[[#This Row],[Details]:[Details]]=$B34)/(Table1[[#This Row],[Details]:[Details]]=$B34)*(ROW(Table1[[Details]:[Details]])-ROW(Table1[[#Headers],[Details]])),COLUMNS($C$10:L33))),"")</f>
        <v/>
      </c>
      <c r="M34" t="str">
        <f>IF(COLUMNS($C$10:M33)&lt;=$A34,INDEX(Table1[[PARTICULAR]:[PARTICULAR]],_xlfn.AGGREGATE(15,3,(Table1[[#This Row],[Details]:[Details]]=$B34)/(Table1[[#This Row],[Details]:[Details]]=$B34)*(ROW(Table1[[Details]:[Details]])-ROW(Table1[[#Headers],[Details]])),COLUMNS($C$10:M33))),"")</f>
        <v/>
      </c>
      <c r="N34" t="str">
        <f>IF(COLUMNS($C$10:N33)&lt;=$A34,INDEX(Table1[[PARTICULAR]:[PARTICULAR]],_xlfn.AGGREGATE(15,3,(Table1[[#This Row],[Details]:[Details]]=$B34)/(Table1[[#This Row],[Details]:[Details]]=$B34)*(ROW(Table1[[Details]:[Details]])-ROW(Table1[[#Headers],[Details]])),COLUMNS($C$10:N33))),"")</f>
        <v/>
      </c>
      <c r="O34" t="str">
        <f>IF(COLUMNS($C$10:O33)&lt;=$A34,INDEX(Table1[[PARTICULAR]:[PARTICULAR]],_xlfn.AGGREGATE(15,3,(Table1[[#This Row],[Details]:[Details]]=$B34)/(Table1[[#This Row],[Details]:[Details]]=$B34)*(ROW(Table1[[Details]:[Details]])-ROW(Table1[[#Headers],[Details]])),COLUMNS($C$10:O33))),"")</f>
        <v/>
      </c>
      <c r="P34" t="str">
        <f>IF(COLUMNS($C$10:P33)&lt;=$A34,INDEX(Table1[[PARTICULAR]:[PARTICULAR]],_xlfn.AGGREGATE(15,3,(Table1[[#This Row],[Details]:[Details]]=$B34)/(Table1[[#This Row],[Details]:[Details]]=$B34)*(ROW(Table1[[Details]:[Details]])-ROW(Table1[[#Headers],[Details]])),COLUMNS($C$10:P33))),"")</f>
        <v/>
      </c>
      <c r="Q34" t="str">
        <f>IF(COLUMNS($C$10:Q33)&lt;=$A34,INDEX(Table1[[PARTICULAR]:[PARTICULAR]],_xlfn.AGGREGATE(15,3,(Table1[[#This Row],[Details]:[Details]]=$B34)/(Table1[[#This Row],[Details]:[Details]]=$B34)*(ROW(Table1[[Details]:[Details]])-ROW(Table1[[#Headers],[Details]])),COLUMNS($C$10:Q33))),"")</f>
        <v/>
      </c>
      <c r="R34" t="str">
        <f>IF(COLUMNS($C$10:R33)&lt;=$A34,INDEX(Table1[[PARTICULAR]:[PARTICULAR]],_xlfn.AGGREGATE(15,3,(Table1[[#This Row],[Details]:[Details]]=$B34)/(Table1[[#This Row],[Details]:[Details]]=$B34)*(ROW(Table1[[Details]:[Details]])-ROW(Table1[[#Headers],[Details]])),COLUMNS($C$10:R33))),"")</f>
        <v/>
      </c>
      <c r="S34" t="str">
        <f>IF(COLUMNS($C$10:S33)&lt;=$A34,INDEX(Table1[[PARTICULAR]:[PARTICULAR]],_xlfn.AGGREGATE(15,3,(Table1[[#This Row],[Details]:[Details]]=$B34)/(Table1[[#This Row],[Details]:[Details]]=$B34)*(ROW(Table1[[Details]:[Details]])-ROW(Table1[[#Headers],[Details]])),COLUMNS($C$10:S33))),"")</f>
        <v/>
      </c>
      <c r="T34" t="str">
        <f>IF(COLUMNS($C$10:T33)&lt;=$A34,INDEX(Table1[[PARTICULAR]:[PARTICULAR]],_xlfn.AGGREGATE(15,3,(Table1[[#This Row],[Details]:[Details]]=$B34)/(Table1[[#This Row],[Details]:[Details]]=$B34)*(ROW(Table1[[Details]:[Details]])-ROW(Table1[[#Headers],[Details]])),COLUMNS($C$10:T33))),"")</f>
        <v/>
      </c>
      <c r="U34" t="str">
        <f>IF(COLUMNS($C$10:U33)&lt;=$A34,INDEX(Table1[[PARTICULAR]:[PARTICULAR]],_xlfn.AGGREGATE(15,3,(Table1[[#This Row],[Details]:[Details]]=$B34)/(Table1[[#This Row],[Details]:[Details]]=$B34)*(ROW(Table1[[Details]:[Details]])-ROW(Table1[[#Headers],[Details]])),COLUMNS($C$10:U33))),"")</f>
        <v/>
      </c>
      <c r="V34" t="str">
        <f>IF(COLUMNS($C$10:V33)&lt;=$A34,INDEX(Table1[[PARTICULAR]:[PARTICULAR]],_xlfn.AGGREGATE(15,3,(Table1[[#This Row],[Details]:[Details]]=$B34)/(Table1[[#This Row],[Details]:[Details]]=$B34)*(ROW(Table1[[Details]:[Details]])-ROW(Table1[[#Headers],[Details]])),COLUMNS($C$10:V33))),"")</f>
        <v/>
      </c>
      <c r="W34" t="str">
        <f>IF(COLUMNS($C$10:W33)&lt;=$A34,INDEX(Table1[[PARTICULAR]:[PARTICULAR]],_xlfn.AGGREGATE(15,3,(Table1[[#This Row],[Details]:[Details]]=$B34)/(Table1[[#This Row],[Details]:[Details]]=$B34)*(ROW(Table1[[Details]:[Details]])-ROW(Table1[[#Headers],[Details]])),COLUMNS($C$10:W33))),"")</f>
        <v/>
      </c>
      <c r="X34" t="str">
        <f>IF(COLUMNS($C$10:X33)&lt;=$A34,INDEX(Table1[[PARTICULAR]:[PARTICULAR]],_xlfn.AGGREGATE(15,3,(Table1[[#This Row],[Details]:[Details]]=$B34)/(Table1[[#This Row],[Details]:[Details]]=$B34)*(ROW(Table1[[Details]:[Details]])-ROW(Table1[[#Headers],[Details]])),COLUMNS($C$10:X33))),"")</f>
        <v/>
      </c>
      <c r="Y34" t="str">
        <f>IF(COLUMNS($C$10:Y33)&lt;=$A34,INDEX(Table1[[PARTICULAR]:[PARTICULAR]],_xlfn.AGGREGATE(15,3,(Table1[[#This Row],[Details]:[Details]]=$B34)/(Table1[[#This Row],[Details]:[Details]]=$B34)*(ROW(Table1[[Details]:[Details]])-ROW(Table1[[#Headers],[Details]])),COLUMNS($C$10:Y33))),"")</f>
        <v/>
      </c>
      <c r="Z34" t="str">
        <f>IF(COLUMNS($C$10:Z33)&lt;=$A34,INDEX(Table1[[PARTICULAR]:[PARTICULAR]],_xlfn.AGGREGATE(15,3,(Table1[[#This Row],[Details]:[Details]]=$B34)/(Table1[[#This Row],[Details]:[Details]]=$B34)*(ROW(Table1[[Details]:[Details]])-ROW(Table1[[#Headers],[Details]])),COLUMNS($C$10:Z33))),"")</f>
        <v/>
      </c>
      <c r="AA34" t="str">
        <f>IF(COLUMNS($C$10:AA33)&lt;=$A34,INDEX(Table1[[PARTICULAR]:[PARTICULAR]],_xlfn.AGGREGATE(15,3,(Table1[[#This Row],[Details]:[Details]]=$B34)/(Table1[[#This Row],[Details]:[Details]]=$B34)*(ROW(Table1[[Details]:[Details]])-ROW(Table1[[#Headers],[Details]])),COLUMNS($C$10:AA33))),"")</f>
        <v/>
      </c>
      <c r="AB34" t="str">
        <f>IF(COLUMNS($C$10:AB33)&lt;=$A34,INDEX(Table1[[PARTICULAR]:[PARTICULAR]],_xlfn.AGGREGATE(15,3,(Table1[[#This Row],[Details]:[Details]]=$B34)/(Table1[[#This Row],[Details]:[Details]]=$B34)*(ROW(Table1[[Details]:[Details]])-ROW(Table1[[#Headers],[Details]])),COLUMNS($C$10:AB33))),"")</f>
        <v/>
      </c>
      <c r="AC34" t="str">
        <f>IF(COLUMNS($C$10:AC33)&lt;=$A34,INDEX(Table1[[PARTICULAR]:[PARTICULAR]],_xlfn.AGGREGATE(15,3,(Table1[[#This Row],[Details]:[Details]]=$B34)/(Table1[[#This Row],[Details]:[Details]]=$B34)*(ROW(Table1[[Details]:[Details]])-ROW(Table1[[#Headers],[Details]])),COLUMNS($C$10:AC33))),"")</f>
        <v/>
      </c>
      <c r="AD34" t="str">
        <f>IF(COLUMNS($C$10:AD33)&lt;=$A34,INDEX(Table1[[PARTICULAR]:[PARTICULAR]],_xlfn.AGGREGATE(15,3,(Table1[[#This Row],[Details]:[Details]]=$B34)/(Table1[[#This Row],[Details]:[Details]]=$B34)*(ROW(Table1[[Details]:[Details]])-ROW(Table1[[#Headers],[Details]])),COLUMNS($C$10:AD33))),"")</f>
        <v/>
      </c>
      <c r="AE34" t="str">
        <f>IF(COLUMNS($C$10:AE33)&lt;=$A34,INDEX(Table1[[PARTICULAR]:[PARTICULAR]],_xlfn.AGGREGATE(15,3,(Table1[[#This Row],[Details]:[Details]]=$B34)/(Table1[[#This Row],[Details]:[Details]]=$B34)*(ROW(Table1[[Details]:[Details]])-ROW(Table1[[#Headers],[Details]])),COLUMNS($C$10:AE33))),"")</f>
        <v/>
      </c>
      <c r="AF34" t="str">
        <f>IF(COLUMNS($C$10:AF33)&lt;=$A34,INDEX(Table1[[PARTICULAR]:[PARTICULAR]],_xlfn.AGGREGATE(15,3,(Table1[[#This Row],[Details]:[Details]]=$B34)/(Table1[[#This Row],[Details]:[Details]]=$B34)*(ROW(Table1[[Details]:[Details]])-ROW(Table1[[#Headers],[Details]])),COLUMNS($C$10:AF33))),"")</f>
        <v/>
      </c>
      <c r="AG34" t="str">
        <f>IF(COLUMNS($C$10:AG33)&lt;=$A34,INDEX(Table1[[PARTICULAR]:[PARTICULAR]],_xlfn.AGGREGATE(15,3,(Table1[[#This Row],[Details]:[Details]]=$B34)/(Table1[[#This Row],[Details]:[Details]]=$B34)*(ROW(Table1[[Details]:[Details]])-ROW(Table1[[#Headers],[Details]])),COLUMNS($C$10:AG33))),"")</f>
        <v/>
      </c>
      <c r="AH34" t="str">
        <f>IF(COLUMNS($C$10:AH33)&lt;=$A34,INDEX(Table1[[PARTICULAR]:[PARTICULAR]],_xlfn.AGGREGATE(15,3,(Table1[[#This Row],[Details]:[Details]]=$B34)/(Table1[[#This Row],[Details]:[Details]]=$B34)*(ROW(Table1[[Details]:[Details]])-ROW(Table1[[#Headers],[Details]])),COLUMNS($C$10:AH33))),"")</f>
        <v/>
      </c>
      <c r="AI34" t="str">
        <f>IF(COLUMNS($C$10:AI33)&lt;=$A34,INDEX(Table1[[PARTICULAR]:[PARTICULAR]],_xlfn.AGGREGATE(15,3,(Table1[[#This Row],[Details]:[Details]]=$B34)/(Table1[[#This Row],[Details]:[Details]]=$B34)*(ROW(Table1[[Details]:[Details]])-ROW(Table1[[#Headers],[Details]])),COLUMNS($C$10:AI33))),"")</f>
        <v/>
      </c>
      <c r="AJ34" t="str">
        <f>IF(COLUMNS($C$10:AJ33)&lt;=$A34,INDEX(Table1[[PARTICULAR]:[PARTICULAR]],_xlfn.AGGREGATE(15,3,(Table1[[#This Row],[Details]:[Details]]=$B34)/(Table1[[#This Row],[Details]:[Details]]=$B34)*(ROW(Table1[[Details]:[Details]])-ROW(Table1[[#Headers],[Details]])),COLUMNS($C$10:AJ33))),"")</f>
        <v/>
      </c>
      <c r="AK34" t="str">
        <f>IF(COLUMNS($C$10:AK33)&lt;=$A34,INDEX(Table1[[PARTICULAR]:[PARTICULAR]],_xlfn.AGGREGATE(15,3,(Table1[[#This Row],[Details]:[Details]]=$B34)/(Table1[[#This Row],[Details]:[Details]]=$B34)*(ROW(Table1[[Details]:[Details]])-ROW(Table1[[#Headers],[Details]])),COLUMNS($C$10:AK33))),"")</f>
        <v/>
      </c>
      <c r="AL34" t="str">
        <f>IF(COLUMNS($C$10:AL33)&lt;=$A34,INDEX(Table1[[PARTICULAR]:[PARTICULAR]],_xlfn.AGGREGATE(15,3,(Table1[[#This Row],[Details]:[Details]]=$B34)/(Table1[[#This Row],[Details]:[Details]]=$B34)*(ROW(Table1[[Details]:[Details]])-ROW(Table1[[#Headers],[Details]])),COLUMNS($C$10:AL33))),"")</f>
        <v/>
      </c>
      <c r="AM34" t="str">
        <f>IF(COLUMNS($C$10:AM33)&lt;=$A34,INDEX(Table1[[PARTICULAR]:[PARTICULAR]],_xlfn.AGGREGATE(15,3,(Table1[[#This Row],[Details]:[Details]]=$B34)/(Table1[[#This Row],[Details]:[Details]]=$B34)*(ROW(Table1[[Details]:[Details]])-ROW(Table1[[#Headers],[Details]])),COLUMNS($C$10:AM33))),"")</f>
        <v/>
      </c>
      <c r="AN34" t="str">
        <f>IF(COLUMNS($C$10:AN33)&lt;=$A34,INDEX(Table1[[PARTICULAR]:[PARTICULAR]],_xlfn.AGGREGATE(15,3,(Table1[[#This Row],[Details]:[Details]]=$B34)/(Table1[[#This Row],[Details]:[Details]]=$B34)*(ROW(Table1[[Details]:[Details]])-ROW(Table1[[#Headers],[Details]])),COLUMNS($C$10:AN33))),"")</f>
        <v/>
      </c>
      <c r="AO34" t="str">
        <f>IF(COLUMNS($C$10:AO33)&lt;=$A34,INDEX(Table1[[PARTICULAR]:[PARTICULAR]],_xlfn.AGGREGATE(15,3,(Table1[[#This Row],[Details]:[Details]]=$B34)/(Table1[[#This Row],[Details]:[Details]]=$B34)*(ROW(Table1[[Details]:[Details]])-ROW(Table1[[#Headers],[Details]])),COLUMNS($C$10:AO33))),"")</f>
        <v/>
      </c>
      <c r="AP34" t="str">
        <f>IF(COLUMNS($C$10:AP33)&lt;=$A34,INDEX(Table1[[PARTICULAR]:[PARTICULAR]],_xlfn.AGGREGATE(15,3,(Table1[[#This Row],[Details]:[Details]]=$B34)/(Table1[[#This Row],[Details]:[Details]]=$B34)*(ROW(Table1[[Details]:[Details]])-ROW(Table1[[#Headers],[Details]])),COLUMNS($C$10:AP33))),"")</f>
        <v/>
      </c>
      <c r="AQ34" t="str">
        <f>IF(COLUMNS($C$10:AQ33)&lt;=$A34,INDEX(Table1[[PARTICULAR]:[PARTICULAR]],_xlfn.AGGREGATE(15,3,(Table1[[#This Row],[Details]:[Details]]=$B34)/(Table1[[#This Row],[Details]:[Details]]=$B34)*(ROW(Table1[[Details]:[Details]])-ROW(Table1[[#Headers],[Details]])),COLUMNS($C$10:AQ33))),"")</f>
        <v/>
      </c>
      <c r="AR34" t="str">
        <f>IF(COLUMNS($C$10:AR33)&lt;=$A34,INDEX(Table1[[PARTICULAR]:[PARTICULAR]],_xlfn.AGGREGATE(15,3,(Table1[[#This Row],[Details]:[Details]]=$B34)/(Table1[[#This Row],[Details]:[Details]]=$B34)*(ROW(Table1[[Details]:[Details]])-ROW(Table1[[#Headers],[Details]])),COLUMNS($C$10:AR33))),"")</f>
        <v/>
      </c>
      <c r="AS34" t="str">
        <f>IF(COLUMNS($C$10:AS33)&lt;=$A34,INDEX(Table1[[PARTICULAR]:[PARTICULAR]],_xlfn.AGGREGATE(15,3,(Table1[[#This Row],[Details]:[Details]]=$B34)/(Table1[[#This Row],[Details]:[Details]]=$B34)*(ROW(Table1[[Details]:[Details]])-ROW(Table1[[#Headers],[Details]])),COLUMNS($C$10:AS33))),"")</f>
        <v/>
      </c>
      <c r="AT34" t="str">
        <f>IF(COLUMNS($C$10:AT33)&lt;=$A34,INDEX(Table1[[PARTICULAR]:[PARTICULAR]],_xlfn.AGGREGATE(15,3,(Table1[[#This Row],[Details]:[Details]]=$B34)/(Table1[[#This Row],[Details]:[Details]]=$B34)*(ROW(Table1[[Details]:[Details]])-ROW(Table1[[#Headers],[Details]])),COLUMNS($C$10:AT33))),"")</f>
        <v/>
      </c>
      <c r="AU34" t="str">
        <f>IF(COLUMNS($C$10:AU33)&lt;=$A34,INDEX(Table1[[PARTICULAR]:[PARTICULAR]],_xlfn.AGGREGATE(15,3,(Table1[[#This Row],[Details]:[Details]]=$B34)/(Table1[[#This Row],[Details]:[Details]]=$B34)*(ROW(Table1[[Details]:[Details]])-ROW(Table1[[#Headers],[Details]])),COLUMNS($C$10:AU33))),"")</f>
        <v/>
      </c>
      <c r="AV34" t="str">
        <f>IF(COLUMNS($C$10:AV33)&lt;=$A34,INDEX(Table1[[PARTICULAR]:[PARTICULAR]],_xlfn.AGGREGATE(15,3,(Table1[[#This Row],[Details]:[Details]]=$B34)/(Table1[[#This Row],[Details]:[Details]]=$B34)*(ROW(Table1[[Details]:[Details]])-ROW(Table1[[#Headers],[Details]])),COLUMNS($C$10:AV33))),"")</f>
        <v/>
      </c>
      <c r="AW34" t="str">
        <f>IF(COLUMNS($C$10:AW33)&lt;=$A34,INDEX(Table1[[PARTICULAR]:[PARTICULAR]],_xlfn.AGGREGATE(15,3,(Table1[[#This Row],[Details]:[Details]]=$B34)/(Table1[[#This Row],[Details]:[Details]]=$B34)*(ROW(Table1[[Details]:[Details]])-ROW(Table1[[#Headers],[Details]])),COLUMNS($C$10:AW33))),"")</f>
        <v/>
      </c>
      <c r="AX34" t="str">
        <f>IF(COLUMNS($C$10:AX33)&lt;=$A34,INDEX(Table1[[PARTICULAR]:[PARTICULAR]],_xlfn.AGGREGATE(15,3,(Table1[[#This Row],[Details]:[Details]]=$B34)/(Table1[[#This Row],[Details]:[Details]]=$B34)*(ROW(Table1[[Details]:[Details]])-ROW(Table1[[#Headers],[Details]])),COLUMNS($C$10:AX33))),"")</f>
        <v/>
      </c>
      <c r="AY34" t="str">
        <f>IF(COLUMNS($C$10:AY33)&lt;=$A34,INDEX(Table1[[PARTICULAR]:[PARTICULAR]],_xlfn.AGGREGATE(15,3,(Table1[[#This Row],[Details]:[Details]]=$B34)/(Table1[[#This Row],[Details]:[Details]]=$B34)*(ROW(Table1[[Details]:[Details]])-ROW(Table1[[#Headers],[Details]])),COLUMNS($C$10:AY33))),"")</f>
        <v/>
      </c>
      <c r="AZ34" t="str">
        <f>IF(COLUMNS($C$10:AZ33)&lt;=$A34,INDEX(Table1[[PARTICULAR]:[PARTICULAR]],_xlfn.AGGREGATE(15,3,(Table1[[#This Row],[Details]:[Details]]=$B34)/(Table1[[#This Row],[Details]:[Details]]=$B34)*(ROW(Table1[[Details]:[Details]])-ROW(Table1[[#Headers],[Details]])),COLUMNS($C$10:AZ33))),"")</f>
        <v/>
      </c>
      <c r="BA34" t="str">
        <f>IF(COLUMNS($C$10:BA33)&lt;=$A34,INDEX(Table1[[PARTICULAR]:[PARTICULAR]],_xlfn.AGGREGATE(15,3,(Table1[[#This Row],[Details]:[Details]]=$B34)/(Table1[[#This Row],[Details]:[Details]]=$B34)*(ROW(Table1[[Details]:[Details]])-ROW(Table1[[#Headers],[Details]])),COLUMNS($C$10:BA33))),"")</f>
        <v/>
      </c>
      <c r="BB34" t="str">
        <f>IF(COLUMNS($C$10:BB33)&lt;=$A34,INDEX(Table1[[PARTICULAR]:[PARTICULAR]],_xlfn.AGGREGATE(15,3,(Table1[[#This Row],[Details]:[Details]]=$B34)/(Table1[[#This Row],[Details]:[Details]]=$B34)*(ROW(Table1[[Details]:[Details]])-ROW(Table1[[#Headers],[Details]])),COLUMNS($C$10:BB33))),"")</f>
        <v/>
      </c>
      <c r="BC34" t="str">
        <f>IF(COLUMNS($C$10:BC33)&lt;=$A34,INDEX(Table1[[PARTICULAR]:[PARTICULAR]],_xlfn.AGGREGATE(15,3,(Table1[[#This Row],[Details]:[Details]]=$B34)/(Table1[[#This Row],[Details]:[Details]]=$B34)*(ROW(Table1[[Details]:[Details]])-ROW(Table1[[#Headers],[Details]])),COLUMNS($C$10:BC33))),"")</f>
        <v/>
      </c>
      <c r="BD34" t="str">
        <f>IF(COLUMNS($C$10:BD33)&lt;=$A34,INDEX(Table1[[PARTICULAR]:[PARTICULAR]],_xlfn.AGGREGATE(15,3,(Table1[[#This Row],[Details]:[Details]]=$B34)/(Table1[[#This Row],[Details]:[Details]]=$B34)*(ROW(Table1[[Details]:[Details]])-ROW(Table1[[#Headers],[Details]])),COLUMNS($C$10:BD33))),"")</f>
        <v/>
      </c>
      <c r="BE34" t="str">
        <f>IF(COLUMNS($C$10:BE33)&lt;=$A34,INDEX(Table1[[PARTICULAR]:[PARTICULAR]],_xlfn.AGGREGATE(15,3,(Table1[[#This Row],[Details]:[Details]]=$B34)/(Table1[[#This Row],[Details]:[Details]]=$B34)*(ROW(Table1[[Details]:[Details]])-ROW(Table1[[#Headers],[Details]])),COLUMNS($C$10:BE33))),"")</f>
        <v/>
      </c>
      <c r="BF34" t="str">
        <f>IF(COLUMNS($C$10:BF33)&lt;=$A34,INDEX(Table1[[PARTICULAR]:[PARTICULAR]],_xlfn.AGGREGATE(15,3,(Table1[[#This Row],[Details]:[Details]]=$B34)/(Table1[[#This Row],[Details]:[Details]]=$B34)*(ROW(Table1[[Details]:[Details]])-ROW(Table1[[#Headers],[Details]])),COLUMNS($C$10:BF33))),"")</f>
        <v/>
      </c>
      <c r="BG34" t="str">
        <f>IF(COLUMNS($C$10:BG33)&lt;=$A34,INDEX(Table1[[PARTICULAR]:[PARTICULAR]],_xlfn.AGGREGATE(15,3,(Table1[[#This Row],[Details]:[Details]]=$B34)/(Table1[[#This Row],[Details]:[Details]]=$B34)*(ROW(Table1[[Details]:[Details]])-ROW(Table1[[#Headers],[Details]])),COLUMNS($C$10:BG33))),"")</f>
        <v/>
      </c>
      <c r="BH34" t="str">
        <f>IF(COLUMNS($C$10:BH33)&lt;=$A34,INDEX(Table1[[PARTICULAR]:[PARTICULAR]],_xlfn.AGGREGATE(15,3,(Table1[[#This Row],[Details]:[Details]]=$B34)/(Table1[[#This Row],[Details]:[Details]]=$B34)*(ROW(Table1[[Details]:[Details]])-ROW(Table1[[#Headers],[Details]])),COLUMNS($C$10:BH33))),"")</f>
        <v/>
      </c>
      <c r="BI34" t="str">
        <f>IF(COLUMNS($C$10:BI33)&lt;=$A34,INDEX(Table1[[PARTICULAR]:[PARTICULAR]],_xlfn.AGGREGATE(15,3,(Table1[[#This Row],[Details]:[Details]]=$B34)/(Table1[[#This Row],[Details]:[Details]]=$B34)*(ROW(Table1[[Details]:[Details]])-ROW(Table1[[#Headers],[Details]])),COLUMNS($C$10:BI33))),"")</f>
        <v/>
      </c>
      <c r="BJ34" t="str">
        <f>IF(COLUMNS($C$10:BJ33)&lt;=$A34,INDEX(Table1[[PARTICULAR]:[PARTICULAR]],_xlfn.AGGREGATE(15,3,(Table1[[#This Row],[Details]:[Details]]=$B34)/(Table1[[#This Row],[Details]:[Details]]=$B34)*(ROW(Table1[[Details]:[Details]])-ROW(Table1[[#Headers],[Details]])),COLUMNS($C$10:BJ33))),"")</f>
        <v/>
      </c>
      <c r="BK34" t="str">
        <f>IF(COLUMNS($C$10:BK33)&lt;=$A34,INDEX(Table1[[PARTICULAR]:[PARTICULAR]],_xlfn.AGGREGATE(15,3,(Table1[[#This Row],[Details]:[Details]]=$B34)/(Table1[[#This Row],[Details]:[Details]]=$B34)*(ROW(Table1[[Details]:[Details]])-ROW(Table1[[#Headers],[Details]])),COLUMNS($C$10:BK33))),"")</f>
        <v/>
      </c>
      <c r="BL34" t="str">
        <f>IF(COLUMNS($C$10:BL33)&lt;=$A34,INDEX(Table1[[PARTICULAR]:[PARTICULAR]],_xlfn.AGGREGATE(15,3,(Table1[[#This Row],[Details]:[Details]]=$B34)/(Table1[[#This Row],[Details]:[Details]]=$B34)*(ROW(Table1[[Details]:[Details]])-ROW(Table1[[#Headers],[Details]])),COLUMNS($C$10:BL33))),"")</f>
        <v/>
      </c>
      <c r="BM34" t="str">
        <f>IF(COLUMNS($C$10:BM33)&lt;=$A34,INDEX(Table1[[PARTICULAR]:[PARTICULAR]],_xlfn.AGGREGATE(15,3,(Table1[[#This Row],[Details]:[Details]]=$B34)/(Table1[[#This Row],[Details]:[Details]]=$B34)*(ROW(Table1[[Details]:[Details]])-ROW(Table1[[#Headers],[Details]])),COLUMNS($C$10:BM33))),"")</f>
        <v/>
      </c>
      <c r="BN34" t="str">
        <f>IF(COLUMNS($C$10:BN33)&lt;=$A34,INDEX(Table1[[PARTICULAR]:[PARTICULAR]],_xlfn.AGGREGATE(15,3,(Table1[[#This Row],[Details]:[Details]]=$B34)/(Table1[[#This Row],[Details]:[Details]]=$B34)*(ROW(Table1[[Details]:[Details]])-ROW(Table1[[#Headers],[Details]])),COLUMNS($C$10:BN33))),"")</f>
        <v/>
      </c>
      <c r="BO34" t="str">
        <f>IF(COLUMNS($C$10:BO33)&lt;=$A34,INDEX(Table1[[PARTICULAR]:[PARTICULAR]],_xlfn.AGGREGATE(15,3,(Table1[[#This Row],[Details]:[Details]]=$B34)/(Table1[[#This Row],[Details]:[Details]]=$B34)*(ROW(Table1[[Details]:[Details]])-ROW(Table1[[#Headers],[Details]])),COLUMNS($C$10:BO33))),"")</f>
        <v/>
      </c>
      <c r="BP34" t="str">
        <f>IF(COLUMNS($C$10:BP33)&lt;=$A34,INDEX(Table1[[PARTICULAR]:[PARTICULAR]],_xlfn.AGGREGATE(15,3,(Table1[[#This Row],[Details]:[Details]]=$B34)/(Table1[[#This Row],[Details]:[Details]]=$B34)*(ROW(Table1[[Details]:[Details]])-ROW(Table1[[#Headers],[Details]])),COLUMNS($C$10:BP33))),"")</f>
        <v/>
      </c>
      <c r="BQ34" t="str">
        <f>IF(COLUMNS($C$10:BQ33)&lt;=$A34,INDEX(Table1[[PARTICULAR]:[PARTICULAR]],_xlfn.AGGREGATE(15,3,(Table1[[#This Row],[Details]:[Details]]=$B34)/(Table1[[#This Row],[Details]:[Details]]=$B34)*(ROW(Table1[[Details]:[Details]])-ROW(Table1[[#Headers],[Details]])),COLUMNS($C$10:BQ33))),"")</f>
        <v/>
      </c>
      <c r="BR34" t="str">
        <f>IF(COLUMNS($C$10:BR33)&lt;=$A34,INDEX(Table1[[PARTICULAR]:[PARTICULAR]],_xlfn.AGGREGATE(15,3,(Table1[[#This Row],[Details]:[Details]]=$B34)/(Table1[[#This Row],[Details]:[Details]]=$B34)*(ROW(Table1[[Details]:[Details]])-ROW(Table1[[#Headers],[Details]])),COLUMNS($C$10:BR33))),"")</f>
        <v/>
      </c>
      <c r="BS34" t="str">
        <f>IF(COLUMNS($C$10:BS33)&lt;=$A34,INDEX(Table1[[PARTICULAR]:[PARTICULAR]],_xlfn.AGGREGATE(15,3,(Table1[[#This Row],[Details]:[Details]]=$B34)/(Table1[[#This Row],[Details]:[Details]]=$B34)*(ROW(Table1[[Details]:[Details]])-ROW(Table1[[#Headers],[Details]])),COLUMNS($C$10:BS33))),"")</f>
        <v/>
      </c>
      <c r="BT34" t="str">
        <f>IF(COLUMNS($C$10:BT33)&lt;=$A34,INDEX(Table1[[PARTICULAR]:[PARTICULAR]],_xlfn.AGGREGATE(15,3,(Table1[[#This Row],[Details]:[Details]]=$B34)/(Table1[[#This Row],[Details]:[Details]]=$B34)*(ROW(Table1[[Details]:[Details]])-ROW(Table1[[#Headers],[Details]])),COLUMNS($C$10:BT33))),"")</f>
        <v/>
      </c>
      <c r="BU34" t="str">
        <f>IF(COLUMNS($C$10:BU33)&lt;=$A34,INDEX(Table1[[PARTICULAR]:[PARTICULAR]],_xlfn.AGGREGATE(15,3,(Table1[[#This Row],[Details]:[Details]]=$B34)/(Table1[[#This Row],[Details]:[Details]]=$B34)*(ROW(Table1[[Details]:[Details]])-ROW(Table1[[#Headers],[Details]])),COLUMNS($C$10:BU33))),"")</f>
        <v/>
      </c>
      <c r="BV34" t="str">
        <f>IF(COLUMNS($C$10:BV33)&lt;=$A34,INDEX(Table1[[PARTICULAR]:[PARTICULAR]],_xlfn.AGGREGATE(15,3,(Table1[[#This Row],[Details]:[Details]]=$B34)/(Table1[[#This Row],[Details]:[Details]]=$B34)*(ROW(Table1[[Details]:[Details]])-ROW(Table1[[#Headers],[Details]])),COLUMNS($C$10:BV33))),"")</f>
        <v/>
      </c>
      <c r="BW34" t="str">
        <f>IF(COLUMNS($C$10:BW33)&lt;=$A34,INDEX(Table1[[PARTICULAR]:[PARTICULAR]],_xlfn.AGGREGATE(15,3,(Table1[[#This Row],[Details]:[Details]]=$B34)/(Table1[[#This Row],[Details]:[Details]]=$B34)*(ROW(Table1[[Details]:[Details]])-ROW(Table1[[#Headers],[Details]])),COLUMNS($C$10:BW33))),"")</f>
        <v/>
      </c>
      <c r="BX34" t="str">
        <f>IF(COLUMNS($C$10:BX33)&lt;=$A34,INDEX(Table1[[PARTICULAR]:[PARTICULAR]],_xlfn.AGGREGATE(15,3,(Table1[[#This Row],[Details]:[Details]]=$B34)/(Table1[[#This Row],[Details]:[Details]]=$B34)*(ROW(Table1[[Details]:[Details]])-ROW(Table1[[#Headers],[Details]])),COLUMNS($C$10:BX33))),"")</f>
        <v/>
      </c>
      <c r="BY34" t="str">
        <f>IF(COLUMNS($C$10:BY33)&lt;=$A34,INDEX(Table1[[PARTICULAR]:[PARTICULAR]],_xlfn.AGGREGATE(15,3,(Table1[[#This Row],[Details]:[Details]]=$B34)/(Table1[[#This Row],[Details]:[Details]]=$B34)*(ROW(Table1[[Details]:[Details]])-ROW(Table1[[#Headers],[Details]])),COLUMNS($C$10:BY33))),"")</f>
        <v/>
      </c>
      <c r="BZ34" t="str">
        <f>IF(COLUMNS($C$10:BZ33)&lt;=$A34,INDEX(Table1[[PARTICULAR]:[PARTICULAR]],_xlfn.AGGREGATE(15,3,(Table1[[#This Row],[Details]:[Details]]=$B34)/(Table1[[#This Row],[Details]:[Details]]=$B34)*(ROW(Table1[[Details]:[Details]])-ROW(Table1[[#Headers],[Details]])),COLUMNS($C$10:BZ33))),"")</f>
        <v/>
      </c>
      <c r="CA34" t="str">
        <f>IF(COLUMNS($C$10:CA33)&lt;=$A34,INDEX(Table1[[PARTICULAR]:[PARTICULAR]],_xlfn.AGGREGATE(15,3,(Table1[[#This Row],[Details]:[Details]]=$B34)/(Table1[[#This Row],[Details]:[Details]]=$B34)*(ROW(Table1[[Details]:[Details]])-ROW(Table1[[#Headers],[Details]])),COLUMNS($C$10:CA33))),"")</f>
        <v/>
      </c>
      <c r="CB34" t="str">
        <f>IF(COLUMNS($C$10:CB33)&lt;=$A34,INDEX(Table1[[PARTICULAR]:[PARTICULAR]],_xlfn.AGGREGATE(15,3,(Table1[[#This Row],[Details]:[Details]]=$B34)/(Table1[[#This Row],[Details]:[Details]]=$B34)*(ROW(Table1[[Details]:[Details]])-ROW(Table1[[#Headers],[Details]])),COLUMNS($C$10:CB33))),"")</f>
        <v/>
      </c>
    </row>
    <row r="35" spans="2:80">
      <c r="B35" s="97">
        <f>IFERROR(INDEX(Table1[Details],MATCH(0,INDEX(COUNTIF($B$10:B34,Table1[Details]),),0)),"")</f>
        <v>0</v>
      </c>
      <c r="C35" t="str">
        <f>IF(COLUMNS($C$10:C34)&lt;=$A35,INDEX(Table1[[PARTICULAR]:[PARTICULAR]],_xlfn.AGGREGATE(15,3,(Table1[[#This Row],[Details]:[Details]]=$B35)/(Table1[[#This Row],[Details]:[Details]]=$B35)*(ROW(Table1[[Details]:[Details]])-ROW(Table1[[#Headers],[Details]])),COLUMNS($C$10:C34))),"")</f>
        <v/>
      </c>
      <c r="D35" t="str">
        <f>IF(COLUMNS($C$10:D34)&lt;=$A35,INDEX(Table1[[PARTICULAR]:[PARTICULAR]],_xlfn.AGGREGATE(15,3,(Table1[[#This Row],[Details]:[Details]]=$B35)/(Table1[[#This Row],[Details]:[Details]]=$B35)*(ROW(Table1[[Details]:[Details]])-ROW(Table1[[#Headers],[Details]])),COLUMNS($C$10:D34))),"")</f>
        <v/>
      </c>
      <c r="E35" t="str">
        <f>IF(COLUMNS($C$10:E34)&lt;=$A35,INDEX(Table1[[PARTICULAR]:[PARTICULAR]],_xlfn.AGGREGATE(15,3,(Table1[[#This Row],[Details]:[Details]]=$B35)/(Table1[[#This Row],[Details]:[Details]]=$B35)*(ROW(Table1[[Details]:[Details]])-ROW(Table1[[#Headers],[Details]])),COLUMNS($C$10:E34))),"")</f>
        <v/>
      </c>
      <c r="F35" t="str">
        <f>IF(COLUMNS($C$10:F34)&lt;=$A35,INDEX(Table1[[PARTICULAR]:[PARTICULAR]],_xlfn.AGGREGATE(15,3,(Table1[[#This Row],[Details]:[Details]]=$B35)/(Table1[[#This Row],[Details]:[Details]]=$B35)*(ROW(Table1[[Details]:[Details]])-ROW(Table1[[#Headers],[Details]])),COLUMNS($C$10:F34))),"")</f>
        <v/>
      </c>
      <c r="G35" t="str">
        <f>IF(COLUMNS($C$10:G34)&lt;=$A35,INDEX(Table1[[PARTICULAR]:[PARTICULAR]],_xlfn.AGGREGATE(15,3,(Table1[[#This Row],[Details]:[Details]]=$B35)/(Table1[[#This Row],[Details]:[Details]]=$B35)*(ROW(Table1[[Details]:[Details]])-ROW(Table1[[#Headers],[Details]])),COLUMNS($C$10:G34))),"")</f>
        <v/>
      </c>
      <c r="H35" t="str">
        <f>IF(COLUMNS($C$10:H34)&lt;=$A35,INDEX(Table1[[PARTICULAR]:[PARTICULAR]],_xlfn.AGGREGATE(15,3,(Table1[[#This Row],[Details]:[Details]]=$B35)/(Table1[[#This Row],[Details]:[Details]]=$B35)*(ROW(Table1[[Details]:[Details]])-ROW(Table1[[#Headers],[Details]])),COLUMNS($C$10:H34))),"")</f>
        <v/>
      </c>
      <c r="I35" t="str">
        <f>IF(COLUMNS($C$10:I34)&lt;=$A35,INDEX(Table1[[PARTICULAR]:[PARTICULAR]],_xlfn.AGGREGATE(15,3,(Table1[[#This Row],[Details]:[Details]]=$B35)/(Table1[[#This Row],[Details]:[Details]]=$B35)*(ROW(Table1[[Details]:[Details]])-ROW(Table1[[#Headers],[Details]])),COLUMNS($C$10:I34))),"")</f>
        <v/>
      </c>
      <c r="J35" t="str">
        <f>IF(COLUMNS($C$10:J34)&lt;=$A35,INDEX(Table1[[PARTICULAR]:[PARTICULAR]],_xlfn.AGGREGATE(15,3,(Table1[[#This Row],[Details]:[Details]]=$B35)/(Table1[[#This Row],[Details]:[Details]]=$B35)*(ROW(Table1[[Details]:[Details]])-ROW(Table1[[#Headers],[Details]])),COLUMNS($C$10:J34))),"")</f>
        <v/>
      </c>
      <c r="K35" t="str">
        <f>IF(COLUMNS($C$10:K34)&lt;=$A35,INDEX(Table1[[PARTICULAR]:[PARTICULAR]],_xlfn.AGGREGATE(15,3,(Table1[[#This Row],[Details]:[Details]]=$B35)/(Table1[[#This Row],[Details]:[Details]]=$B35)*(ROW(Table1[[Details]:[Details]])-ROW(Table1[[#Headers],[Details]])),COLUMNS($C$10:K34))),"")</f>
        <v/>
      </c>
      <c r="L35" t="str">
        <f>IF(COLUMNS($C$10:L34)&lt;=$A35,INDEX(Table1[[PARTICULAR]:[PARTICULAR]],_xlfn.AGGREGATE(15,3,(Table1[[#This Row],[Details]:[Details]]=$B35)/(Table1[[#This Row],[Details]:[Details]]=$B35)*(ROW(Table1[[Details]:[Details]])-ROW(Table1[[#Headers],[Details]])),COLUMNS($C$10:L34))),"")</f>
        <v/>
      </c>
      <c r="M35" t="str">
        <f>IF(COLUMNS($C$10:M34)&lt;=$A35,INDEX(Table1[[PARTICULAR]:[PARTICULAR]],_xlfn.AGGREGATE(15,3,(Table1[[#This Row],[Details]:[Details]]=$B35)/(Table1[[#This Row],[Details]:[Details]]=$B35)*(ROW(Table1[[Details]:[Details]])-ROW(Table1[[#Headers],[Details]])),COLUMNS($C$10:M34))),"")</f>
        <v/>
      </c>
      <c r="N35" t="str">
        <f>IF(COLUMNS($C$10:N34)&lt;=$A35,INDEX(Table1[[PARTICULAR]:[PARTICULAR]],_xlfn.AGGREGATE(15,3,(Table1[[#This Row],[Details]:[Details]]=$B35)/(Table1[[#This Row],[Details]:[Details]]=$B35)*(ROW(Table1[[Details]:[Details]])-ROW(Table1[[#Headers],[Details]])),COLUMNS($C$10:N34))),"")</f>
        <v/>
      </c>
      <c r="O35" t="str">
        <f>IF(COLUMNS($C$10:O34)&lt;=$A35,INDEX(Table1[[PARTICULAR]:[PARTICULAR]],_xlfn.AGGREGATE(15,3,(Table1[[#This Row],[Details]:[Details]]=$B35)/(Table1[[#This Row],[Details]:[Details]]=$B35)*(ROW(Table1[[Details]:[Details]])-ROW(Table1[[#Headers],[Details]])),COLUMNS($C$10:O34))),"")</f>
        <v/>
      </c>
      <c r="P35" t="str">
        <f>IF(COLUMNS($C$10:P34)&lt;=$A35,INDEX(Table1[[PARTICULAR]:[PARTICULAR]],_xlfn.AGGREGATE(15,3,(Table1[[#This Row],[Details]:[Details]]=$B35)/(Table1[[#This Row],[Details]:[Details]]=$B35)*(ROW(Table1[[Details]:[Details]])-ROW(Table1[[#Headers],[Details]])),COLUMNS($C$10:P34))),"")</f>
        <v/>
      </c>
      <c r="Q35" t="str">
        <f>IF(COLUMNS($C$10:Q34)&lt;=$A35,INDEX(Table1[[PARTICULAR]:[PARTICULAR]],_xlfn.AGGREGATE(15,3,(Table1[[#This Row],[Details]:[Details]]=$B35)/(Table1[[#This Row],[Details]:[Details]]=$B35)*(ROW(Table1[[Details]:[Details]])-ROW(Table1[[#Headers],[Details]])),COLUMNS($C$10:Q34))),"")</f>
        <v/>
      </c>
      <c r="R35" t="str">
        <f>IF(COLUMNS($C$10:R34)&lt;=$A35,INDEX(Table1[[PARTICULAR]:[PARTICULAR]],_xlfn.AGGREGATE(15,3,(Table1[[#This Row],[Details]:[Details]]=$B35)/(Table1[[#This Row],[Details]:[Details]]=$B35)*(ROW(Table1[[Details]:[Details]])-ROW(Table1[[#Headers],[Details]])),COLUMNS($C$10:R34))),"")</f>
        <v/>
      </c>
      <c r="S35" t="str">
        <f>IF(COLUMNS($C$10:S34)&lt;=$A35,INDEX(Table1[[PARTICULAR]:[PARTICULAR]],_xlfn.AGGREGATE(15,3,(Table1[[#This Row],[Details]:[Details]]=$B35)/(Table1[[#This Row],[Details]:[Details]]=$B35)*(ROW(Table1[[Details]:[Details]])-ROW(Table1[[#Headers],[Details]])),COLUMNS($C$10:S34))),"")</f>
        <v/>
      </c>
      <c r="T35" t="str">
        <f>IF(COLUMNS($C$10:T34)&lt;=$A35,INDEX(Table1[[PARTICULAR]:[PARTICULAR]],_xlfn.AGGREGATE(15,3,(Table1[[#This Row],[Details]:[Details]]=$B35)/(Table1[[#This Row],[Details]:[Details]]=$B35)*(ROW(Table1[[Details]:[Details]])-ROW(Table1[[#Headers],[Details]])),COLUMNS($C$10:T34))),"")</f>
        <v/>
      </c>
      <c r="U35" t="str">
        <f>IF(COLUMNS($C$10:U34)&lt;=$A35,INDEX(Table1[[PARTICULAR]:[PARTICULAR]],_xlfn.AGGREGATE(15,3,(Table1[[#This Row],[Details]:[Details]]=$B35)/(Table1[[#This Row],[Details]:[Details]]=$B35)*(ROW(Table1[[Details]:[Details]])-ROW(Table1[[#Headers],[Details]])),COLUMNS($C$10:U34))),"")</f>
        <v/>
      </c>
      <c r="V35" t="str">
        <f>IF(COLUMNS($C$10:V34)&lt;=$A35,INDEX(Table1[[PARTICULAR]:[PARTICULAR]],_xlfn.AGGREGATE(15,3,(Table1[[#This Row],[Details]:[Details]]=$B35)/(Table1[[#This Row],[Details]:[Details]]=$B35)*(ROW(Table1[[Details]:[Details]])-ROW(Table1[[#Headers],[Details]])),COLUMNS($C$10:V34))),"")</f>
        <v/>
      </c>
      <c r="W35" t="str">
        <f>IF(COLUMNS($C$10:W34)&lt;=$A35,INDEX(Table1[[PARTICULAR]:[PARTICULAR]],_xlfn.AGGREGATE(15,3,(Table1[[#This Row],[Details]:[Details]]=$B35)/(Table1[[#This Row],[Details]:[Details]]=$B35)*(ROW(Table1[[Details]:[Details]])-ROW(Table1[[#Headers],[Details]])),COLUMNS($C$10:W34))),"")</f>
        <v/>
      </c>
      <c r="X35" t="str">
        <f>IF(COLUMNS($C$10:X34)&lt;=$A35,INDEX(Table1[[PARTICULAR]:[PARTICULAR]],_xlfn.AGGREGATE(15,3,(Table1[[#This Row],[Details]:[Details]]=$B35)/(Table1[[#This Row],[Details]:[Details]]=$B35)*(ROW(Table1[[Details]:[Details]])-ROW(Table1[[#Headers],[Details]])),COLUMNS($C$10:X34))),"")</f>
        <v/>
      </c>
      <c r="Y35" t="str">
        <f>IF(COLUMNS($C$10:Y34)&lt;=$A35,INDEX(Table1[[PARTICULAR]:[PARTICULAR]],_xlfn.AGGREGATE(15,3,(Table1[[#This Row],[Details]:[Details]]=$B35)/(Table1[[#This Row],[Details]:[Details]]=$B35)*(ROW(Table1[[Details]:[Details]])-ROW(Table1[[#Headers],[Details]])),COLUMNS($C$10:Y34))),"")</f>
        <v/>
      </c>
      <c r="Z35" t="str">
        <f>IF(COLUMNS($C$10:Z34)&lt;=$A35,INDEX(Table1[[PARTICULAR]:[PARTICULAR]],_xlfn.AGGREGATE(15,3,(Table1[[#This Row],[Details]:[Details]]=$B35)/(Table1[[#This Row],[Details]:[Details]]=$B35)*(ROW(Table1[[Details]:[Details]])-ROW(Table1[[#Headers],[Details]])),COLUMNS($C$10:Z34))),"")</f>
        <v/>
      </c>
      <c r="AA35" t="str">
        <f>IF(COLUMNS($C$10:AA34)&lt;=$A35,INDEX(Table1[[PARTICULAR]:[PARTICULAR]],_xlfn.AGGREGATE(15,3,(Table1[[#This Row],[Details]:[Details]]=$B35)/(Table1[[#This Row],[Details]:[Details]]=$B35)*(ROW(Table1[[Details]:[Details]])-ROW(Table1[[#Headers],[Details]])),COLUMNS($C$10:AA34))),"")</f>
        <v/>
      </c>
      <c r="AB35" t="str">
        <f>IF(COLUMNS($C$10:AB34)&lt;=$A35,INDEX(Table1[[PARTICULAR]:[PARTICULAR]],_xlfn.AGGREGATE(15,3,(Table1[[#This Row],[Details]:[Details]]=$B35)/(Table1[[#This Row],[Details]:[Details]]=$B35)*(ROW(Table1[[Details]:[Details]])-ROW(Table1[[#Headers],[Details]])),COLUMNS($C$10:AB34))),"")</f>
        <v/>
      </c>
      <c r="AC35" t="str">
        <f>IF(COLUMNS($C$10:AC34)&lt;=$A35,INDEX(Table1[[PARTICULAR]:[PARTICULAR]],_xlfn.AGGREGATE(15,3,(Table1[[#This Row],[Details]:[Details]]=$B35)/(Table1[[#This Row],[Details]:[Details]]=$B35)*(ROW(Table1[[Details]:[Details]])-ROW(Table1[[#Headers],[Details]])),COLUMNS($C$10:AC34))),"")</f>
        <v/>
      </c>
      <c r="AD35" t="str">
        <f>IF(COLUMNS($C$10:AD34)&lt;=$A35,INDEX(Table1[[PARTICULAR]:[PARTICULAR]],_xlfn.AGGREGATE(15,3,(Table1[[#This Row],[Details]:[Details]]=$B35)/(Table1[[#This Row],[Details]:[Details]]=$B35)*(ROW(Table1[[Details]:[Details]])-ROW(Table1[[#Headers],[Details]])),COLUMNS($C$10:AD34))),"")</f>
        <v/>
      </c>
      <c r="AE35" t="str">
        <f>IF(COLUMNS($C$10:AE34)&lt;=$A35,INDEX(Table1[[PARTICULAR]:[PARTICULAR]],_xlfn.AGGREGATE(15,3,(Table1[[#This Row],[Details]:[Details]]=$B35)/(Table1[[#This Row],[Details]:[Details]]=$B35)*(ROW(Table1[[Details]:[Details]])-ROW(Table1[[#Headers],[Details]])),COLUMNS($C$10:AE34))),"")</f>
        <v/>
      </c>
      <c r="AF35" t="str">
        <f>IF(COLUMNS($C$10:AF34)&lt;=$A35,INDEX(Table1[[PARTICULAR]:[PARTICULAR]],_xlfn.AGGREGATE(15,3,(Table1[[#This Row],[Details]:[Details]]=$B35)/(Table1[[#This Row],[Details]:[Details]]=$B35)*(ROW(Table1[[Details]:[Details]])-ROW(Table1[[#Headers],[Details]])),COLUMNS($C$10:AF34))),"")</f>
        <v/>
      </c>
      <c r="AG35" t="str">
        <f>IF(COLUMNS($C$10:AG34)&lt;=$A35,INDEX(Table1[[PARTICULAR]:[PARTICULAR]],_xlfn.AGGREGATE(15,3,(Table1[[#This Row],[Details]:[Details]]=$B35)/(Table1[[#This Row],[Details]:[Details]]=$B35)*(ROW(Table1[[Details]:[Details]])-ROW(Table1[[#Headers],[Details]])),COLUMNS($C$10:AG34))),"")</f>
        <v/>
      </c>
      <c r="AH35" t="str">
        <f>IF(COLUMNS($C$10:AH34)&lt;=$A35,INDEX(Table1[[PARTICULAR]:[PARTICULAR]],_xlfn.AGGREGATE(15,3,(Table1[[#This Row],[Details]:[Details]]=$B35)/(Table1[[#This Row],[Details]:[Details]]=$B35)*(ROW(Table1[[Details]:[Details]])-ROW(Table1[[#Headers],[Details]])),COLUMNS($C$10:AH34))),"")</f>
        <v/>
      </c>
      <c r="AI35" t="str">
        <f>IF(COLUMNS($C$10:AI34)&lt;=$A35,INDEX(Table1[[PARTICULAR]:[PARTICULAR]],_xlfn.AGGREGATE(15,3,(Table1[[#This Row],[Details]:[Details]]=$B35)/(Table1[[#This Row],[Details]:[Details]]=$B35)*(ROW(Table1[[Details]:[Details]])-ROW(Table1[[#Headers],[Details]])),COLUMNS($C$10:AI34))),"")</f>
        <v/>
      </c>
      <c r="AJ35" t="str">
        <f>IF(COLUMNS($C$10:AJ34)&lt;=$A35,INDEX(Table1[[PARTICULAR]:[PARTICULAR]],_xlfn.AGGREGATE(15,3,(Table1[[#This Row],[Details]:[Details]]=$B35)/(Table1[[#This Row],[Details]:[Details]]=$B35)*(ROW(Table1[[Details]:[Details]])-ROW(Table1[[#Headers],[Details]])),COLUMNS($C$10:AJ34))),"")</f>
        <v/>
      </c>
      <c r="AK35" t="str">
        <f>IF(COLUMNS($C$10:AK34)&lt;=$A35,INDEX(Table1[[PARTICULAR]:[PARTICULAR]],_xlfn.AGGREGATE(15,3,(Table1[[#This Row],[Details]:[Details]]=$B35)/(Table1[[#This Row],[Details]:[Details]]=$B35)*(ROW(Table1[[Details]:[Details]])-ROW(Table1[[#Headers],[Details]])),COLUMNS($C$10:AK34))),"")</f>
        <v/>
      </c>
      <c r="AL35" t="str">
        <f>IF(COLUMNS($C$10:AL34)&lt;=$A35,INDEX(Table1[[PARTICULAR]:[PARTICULAR]],_xlfn.AGGREGATE(15,3,(Table1[[#This Row],[Details]:[Details]]=$B35)/(Table1[[#This Row],[Details]:[Details]]=$B35)*(ROW(Table1[[Details]:[Details]])-ROW(Table1[[#Headers],[Details]])),COLUMNS($C$10:AL34))),"")</f>
        <v/>
      </c>
      <c r="AM35" t="str">
        <f>IF(COLUMNS($C$10:AM34)&lt;=$A35,INDEX(Table1[[PARTICULAR]:[PARTICULAR]],_xlfn.AGGREGATE(15,3,(Table1[[#This Row],[Details]:[Details]]=$B35)/(Table1[[#This Row],[Details]:[Details]]=$B35)*(ROW(Table1[[Details]:[Details]])-ROW(Table1[[#Headers],[Details]])),COLUMNS($C$10:AM34))),"")</f>
        <v/>
      </c>
      <c r="AN35" t="str">
        <f>IF(COLUMNS($C$10:AN34)&lt;=$A35,INDEX(Table1[[PARTICULAR]:[PARTICULAR]],_xlfn.AGGREGATE(15,3,(Table1[[#This Row],[Details]:[Details]]=$B35)/(Table1[[#This Row],[Details]:[Details]]=$B35)*(ROW(Table1[[Details]:[Details]])-ROW(Table1[[#Headers],[Details]])),COLUMNS($C$10:AN34))),"")</f>
        <v/>
      </c>
      <c r="AO35" t="str">
        <f>IF(COLUMNS($C$10:AO34)&lt;=$A35,INDEX(Table1[[PARTICULAR]:[PARTICULAR]],_xlfn.AGGREGATE(15,3,(Table1[[#This Row],[Details]:[Details]]=$B35)/(Table1[[#This Row],[Details]:[Details]]=$B35)*(ROW(Table1[[Details]:[Details]])-ROW(Table1[[#Headers],[Details]])),COLUMNS($C$10:AO34))),"")</f>
        <v/>
      </c>
      <c r="AP35" t="str">
        <f>IF(COLUMNS($C$10:AP34)&lt;=$A35,INDEX(Table1[[PARTICULAR]:[PARTICULAR]],_xlfn.AGGREGATE(15,3,(Table1[[#This Row],[Details]:[Details]]=$B35)/(Table1[[#This Row],[Details]:[Details]]=$B35)*(ROW(Table1[[Details]:[Details]])-ROW(Table1[[#Headers],[Details]])),COLUMNS($C$10:AP34))),"")</f>
        <v/>
      </c>
      <c r="AQ35" t="str">
        <f>IF(COLUMNS($C$10:AQ34)&lt;=$A35,INDEX(Table1[[PARTICULAR]:[PARTICULAR]],_xlfn.AGGREGATE(15,3,(Table1[[#This Row],[Details]:[Details]]=$B35)/(Table1[[#This Row],[Details]:[Details]]=$B35)*(ROW(Table1[[Details]:[Details]])-ROW(Table1[[#Headers],[Details]])),COLUMNS($C$10:AQ34))),"")</f>
        <v/>
      </c>
      <c r="AR35" t="str">
        <f>IF(COLUMNS($C$10:AR34)&lt;=$A35,INDEX(Table1[[PARTICULAR]:[PARTICULAR]],_xlfn.AGGREGATE(15,3,(Table1[[#This Row],[Details]:[Details]]=$B35)/(Table1[[#This Row],[Details]:[Details]]=$B35)*(ROW(Table1[[Details]:[Details]])-ROW(Table1[[#Headers],[Details]])),COLUMNS($C$10:AR34))),"")</f>
        <v/>
      </c>
      <c r="AS35" t="str">
        <f>IF(COLUMNS($C$10:AS34)&lt;=$A35,INDEX(Table1[[PARTICULAR]:[PARTICULAR]],_xlfn.AGGREGATE(15,3,(Table1[[#This Row],[Details]:[Details]]=$B35)/(Table1[[#This Row],[Details]:[Details]]=$B35)*(ROW(Table1[[Details]:[Details]])-ROW(Table1[[#Headers],[Details]])),COLUMNS($C$10:AS34))),"")</f>
        <v/>
      </c>
      <c r="AT35" t="str">
        <f>IF(COLUMNS($C$10:AT34)&lt;=$A35,INDEX(Table1[[PARTICULAR]:[PARTICULAR]],_xlfn.AGGREGATE(15,3,(Table1[[#This Row],[Details]:[Details]]=$B35)/(Table1[[#This Row],[Details]:[Details]]=$B35)*(ROW(Table1[[Details]:[Details]])-ROW(Table1[[#Headers],[Details]])),COLUMNS($C$10:AT34))),"")</f>
        <v/>
      </c>
      <c r="AU35" t="str">
        <f>IF(COLUMNS($C$10:AU34)&lt;=$A35,INDEX(Table1[[PARTICULAR]:[PARTICULAR]],_xlfn.AGGREGATE(15,3,(Table1[[#This Row],[Details]:[Details]]=$B35)/(Table1[[#This Row],[Details]:[Details]]=$B35)*(ROW(Table1[[Details]:[Details]])-ROW(Table1[[#Headers],[Details]])),COLUMNS($C$10:AU34))),"")</f>
        <v/>
      </c>
      <c r="AV35" t="str">
        <f>IF(COLUMNS($C$10:AV34)&lt;=$A35,INDEX(Table1[[PARTICULAR]:[PARTICULAR]],_xlfn.AGGREGATE(15,3,(Table1[[#This Row],[Details]:[Details]]=$B35)/(Table1[[#This Row],[Details]:[Details]]=$B35)*(ROW(Table1[[Details]:[Details]])-ROW(Table1[[#Headers],[Details]])),COLUMNS($C$10:AV34))),"")</f>
        <v/>
      </c>
      <c r="AW35" t="str">
        <f>IF(COLUMNS($C$10:AW34)&lt;=$A35,INDEX(Table1[[PARTICULAR]:[PARTICULAR]],_xlfn.AGGREGATE(15,3,(Table1[[#This Row],[Details]:[Details]]=$B35)/(Table1[[#This Row],[Details]:[Details]]=$B35)*(ROW(Table1[[Details]:[Details]])-ROW(Table1[[#Headers],[Details]])),COLUMNS($C$10:AW34))),"")</f>
        <v/>
      </c>
      <c r="AX35" t="str">
        <f>IF(COLUMNS($C$10:AX34)&lt;=$A35,INDEX(Table1[[PARTICULAR]:[PARTICULAR]],_xlfn.AGGREGATE(15,3,(Table1[[#This Row],[Details]:[Details]]=$B35)/(Table1[[#This Row],[Details]:[Details]]=$B35)*(ROW(Table1[[Details]:[Details]])-ROW(Table1[[#Headers],[Details]])),COLUMNS($C$10:AX34))),"")</f>
        <v/>
      </c>
      <c r="AY35" t="str">
        <f>IF(COLUMNS($C$10:AY34)&lt;=$A35,INDEX(Table1[[PARTICULAR]:[PARTICULAR]],_xlfn.AGGREGATE(15,3,(Table1[[#This Row],[Details]:[Details]]=$B35)/(Table1[[#This Row],[Details]:[Details]]=$B35)*(ROW(Table1[[Details]:[Details]])-ROW(Table1[[#Headers],[Details]])),COLUMNS($C$10:AY34))),"")</f>
        <v/>
      </c>
      <c r="AZ35" t="str">
        <f>IF(COLUMNS($C$10:AZ34)&lt;=$A35,INDEX(Table1[[PARTICULAR]:[PARTICULAR]],_xlfn.AGGREGATE(15,3,(Table1[[#This Row],[Details]:[Details]]=$B35)/(Table1[[#This Row],[Details]:[Details]]=$B35)*(ROW(Table1[[Details]:[Details]])-ROW(Table1[[#Headers],[Details]])),COLUMNS($C$10:AZ34))),"")</f>
        <v/>
      </c>
      <c r="BA35" t="str">
        <f>IF(COLUMNS($C$10:BA34)&lt;=$A35,INDEX(Table1[[PARTICULAR]:[PARTICULAR]],_xlfn.AGGREGATE(15,3,(Table1[[#This Row],[Details]:[Details]]=$B35)/(Table1[[#This Row],[Details]:[Details]]=$B35)*(ROW(Table1[[Details]:[Details]])-ROW(Table1[[#Headers],[Details]])),COLUMNS($C$10:BA34))),"")</f>
        <v/>
      </c>
      <c r="BB35" t="str">
        <f>IF(COLUMNS($C$10:BB34)&lt;=$A35,INDEX(Table1[[PARTICULAR]:[PARTICULAR]],_xlfn.AGGREGATE(15,3,(Table1[[#This Row],[Details]:[Details]]=$B35)/(Table1[[#This Row],[Details]:[Details]]=$B35)*(ROW(Table1[[Details]:[Details]])-ROW(Table1[[#Headers],[Details]])),COLUMNS($C$10:BB34))),"")</f>
        <v/>
      </c>
      <c r="BC35" t="str">
        <f>IF(COLUMNS($C$10:BC34)&lt;=$A35,INDEX(Table1[[PARTICULAR]:[PARTICULAR]],_xlfn.AGGREGATE(15,3,(Table1[[#This Row],[Details]:[Details]]=$B35)/(Table1[[#This Row],[Details]:[Details]]=$B35)*(ROW(Table1[[Details]:[Details]])-ROW(Table1[[#Headers],[Details]])),COLUMNS($C$10:BC34))),"")</f>
        <v/>
      </c>
      <c r="BD35" t="str">
        <f>IF(COLUMNS($C$10:BD34)&lt;=$A35,INDEX(Table1[[PARTICULAR]:[PARTICULAR]],_xlfn.AGGREGATE(15,3,(Table1[[#This Row],[Details]:[Details]]=$B35)/(Table1[[#This Row],[Details]:[Details]]=$B35)*(ROW(Table1[[Details]:[Details]])-ROW(Table1[[#Headers],[Details]])),COLUMNS($C$10:BD34))),"")</f>
        <v/>
      </c>
      <c r="BE35" t="str">
        <f>IF(COLUMNS($C$10:BE34)&lt;=$A35,INDEX(Table1[[PARTICULAR]:[PARTICULAR]],_xlfn.AGGREGATE(15,3,(Table1[[#This Row],[Details]:[Details]]=$B35)/(Table1[[#This Row],[Details]:[Details]]=$B35)*(ROW(Table1[[Details]:[Details]])-ROW(Table1[[#Headers],[Details]])),COLUMNS($C$10:BE34))),"")</f>
        <v/>
      </c>
      <c r="BF35" t="str">
        <f>IF(COLUMNS($C$10:BF34)&lt;=$A35,INDEX(Table1[[PARTICULAR]:[PARTICULAR]],_xlfn.AGGREGATE(15,3,(Table1[[#This Row],[Details]:[Details]]=$B35)/(Table1[[#This Row],[Details]:[Details]]=$B35)*(ROW(Table1[[Details]:[Details]])-ROW(Table1[[#Headers],[Details]])),COLUMNS($C$10:BF34))),"")</f>
        <v/>
      </c>
      <c r="BG35" t="str">
        <f>IF(COLUMNS($C$10:BG34)&lt;=$A35,INDEX(Table1[[PARTICULAR]:[PARTICULAR]],_xlfn.AGGREGATE(15,3,(Table1[[#This Row],[Details]:[Details]]=$B35)/(Table1[[#This Row],[Details]:[Details]]=$B35)*(ROW(Table1[[Details]:[Details]])-ROW(Table1[[#Headers],[Details]])),COLUMNS($C$10:BG34))),"")</f>
        <v/>
      </c>
      <c r="BH35" t="str">
        <f>IF(COLUMNS($C$10:BH34)&lt;=$A35,INDEX(Table1[[PARTICULAR]:[PARTICULAR]],_xlfn.AGGREGATE(15,3,(Table1[[#This Row],[Details]:[Details]]=$B35)/(Table1[[#This Row],[Details]:[Details]]=$B35)*(ROW(Table1[[Details]:[Details]])-ROW(Table1[[#Headers],[Details]])),COLUMNS($C$10:BH34))),"")</f>
        <v/>
      </c>
      <c r="BI35" t="str">
        <f>IF(COLUMNS($C$10:BI34)&lt;=$A35,INDEX(Table1[[PARTICULAR]:[PARTICULAR]],_xlfn.AGGREGATE(15,3,(Table1[[#This Row],[Details]:[Details]]=$B35)/(Table1[[#This Row],[Details]:[Details]]=$B35)*(ROW(Table1[[Details]:[Details]])-ROW(Table1[[#Headers],[Details]])),COLUMNS($C$10:BI34))),"")</f>
        <v/>
      </c>
      <c r="BJ35" t="str">
        <f>IF(COLUMNS($C$10:BJ34)&lt;=$A35,INDEX(Table1[[PARTICULAR]:[PARTICULAR]],_xlfn.AGGREGATE(15,3,(Table1[[#This Row],[Details]:[Details]]=$B35)/(Table1[[#This Row],[Details]:[Details]]=$B35)*(ROW(Table1[[Details]:[Details]])-ROW(Table1[[#Headers],[Details]])),COLUMNS($C$10:BJ34))),"")</f>
        <v/>
      </c>
      <c r="BK35" t="str">
        <f>IF(COLUMNS($C$10:BK34)&lt;=$A35,INDEX(Table1[[PARTICULAR]:[PARTICULAR]],_xlfn.AGGREGATE(15,3,(Table1[[#This Row],[Details]:[Details]]=$B35)/(Table1[[#This Row],[Details]:[Details]]=$B35)*(ROW(Table1[[Details]:[Details]])-ROW(Table1[[#Headers],[Details]])),COLUMNS($C$10:BK34))),"")</f>
        <v/>
      </c>
      <c r="BL35" t="str">
        <f>IF(COLUMNS($C$10:BL34)&lt;=$A35,INDEX(Table1[[PARTICULAR]:[PARTICULAR]],_xlfn.AGGREGATE(15,3,(Table1[[#This Row],[Details]:[Details]]=$B35)/(Table1[[#This Row],[Details]:[Details]]=$B35)*(ROW(Table1[[Details]:[Details]])-ROW(Table1[[#Headers],[Details]])),COLUMNS($C$10:BL34))),"")</f>
        <v/>
      </c>
      <c r="BM35" t="str">
        <f>IF(COLUMNS($C$10:BM34)&lt;=$A35,INDEX(Table1[[PARTICULAR]:[PARTICULAR]],_xlfn.AGGREGATE(15,3,(Table1[[#This Row],[Details]:[Details]]=$B35)/(Table1[[#This Row],[Details]:[Details]]=$B35)*(ROW(Table1[[Details]:[Details]])-ROW(Table1[[#Headers],[Details]])),COLUMNS($C$10:BM34))),"")</f>
        <v/>
      </c>
      <c r="BN35" t="str">
        <f>IF(COLUMNS($C$10:BN34)&lt;=$A35,INDEX(Table1[[PARTICULAR]:[PARTICULAR]],_xlfn.AGGREGATE(15,3,(Table1[[#This Row],[Details]:[Details]]=$B35)/(Table1[[#This Row],[Details]:[Details]]=$B35)*(ROW(Table1[[Details]:[Details]])-ROW(Table1[[#Headers],[Details]])),COLUMNS($C$10:BN34))),"")</f>
        <v/>
      </c>
      <c r="BO35" t="str">
        <f>IF(COLUMNS($C$10:BO34)&lt;=$A35,INDEX(Table1[[PARTICULAR]:[PARTICULAR]],_xlfn.AGGREGATE(15,3,(Table1[[#This Row],[Details]:[Details]]=$B35)/(Table1[[#This Row],[Details]:[Details]]=$B35)*(ROW(Table1[[Details]:[Details]])-ROW(Table1[[#Headers],[Details]])),COLUMNS($C$10:BO34))),"")</f>
        <v/>
      </c>
      <c r="BP35" t="str">
        <f>IF(COLUMNS($C$10:BP34)&lt;=$A35,INDEX(Table1[[PARTICULAR]:[PARTICULAR]],_xlfn.AGGREGATE(15,3,(Table1[[#This Row],[Details]:[Details]]=$B35)/(Table1[[#This Row],[Details]:[Details]]=$B35)*(ROW(Table1[[Details]:[Details]])-ROW(Table1[[#Headers],[Details]])),COLUMNS($C$10:BP34))),"")</f>
        <v/>
      </c>
      <c r="BQ35" t="str">
        <f>IF(COLUMNS($C$10:BQ34)&lt;=$A35,INDEX(Table1[[PARTICULAR]:[PARTICULAR]],_xlfn.AGGREGATE(15,3,(Table1[[#This Row],[Details]:[Details]]=$B35)/(Table1[[#This Row],[Details]:[Details]]=$B35)*(ROW(Table1[[Details]:[Details]])-ROW(Table1[[#Headers],[Details]])),COLUMNS($C$10:BQ34))),"")</f>
        <v/>
      </c>
      <c r="BR35" t="str">
        <f>IF(COLUMNS($C$10:BR34)&lt;=$A35,INDEX(Table1[[PARTICULAR]:[PARTICULAR]],_xlfn.AGGREGATE(15,3,(Table1[[#This Row],[Details]:[Details]]=$B35)/(Table1[[#This Row],[Details]:[Details]]=$B35)*(ROW(Table1[[Details]:[Details]])-ROW(Table1[[#Headers],[Details]])),COLUMNS($C$10:BR34))),"")</f>
        <v/>
      </c>
      <c r="BS35" t="str">
        <f>IF(COLUMNS($C$10:BS34)&lt;=$A35,INDEX(Table1[[PARTICULAR]:[PARTICULAR]],_xlfn.AGGREGATE(15,3,(Table1[[#This Row],[Details]:[Details]]=$B35)/(Table1[[#This Row],[Details]:[Details]]=$B35)*(ROW(Table1[[Details]:[Details]])-ROW(Table1[[#Headers],[Details]])),COLUMNS($C$10:BS34))),"")</f>
        <v/>
      </c>
      <c r="BT35" t="str">
        <f>IF(COLUMNS($C$10:BT34)&lt;=$A35,INDEX(Table1[[PARTICULAR]:[PARTICULAR]],_xlfn.AGGREGATE(15,3,(Table1[[#This Row],[Details]:[Details]]=$B35)/(Table1[[#This Row],[Details]:[Details]]=$B35)*(ROW(Table1[[Details]:[Details]])-ROW(Table1[[#Headers],[Details]])),COLUMNS($C$10:BT34))),"")</f>
        <v/>
      </c>
      <c r="BU35" t="str">
        <f>IF(COLUMNS($C$10:BU34)&lt;=$A35,INDEX(Table1[[PARTICULAR]:[PARTICULAR]],_xlfn.AGGREGATE(15,3,(Table1[[#This Row],[Details]:[Details]]=$B35)/(Table1[[#This Row],[Details]:[Details]]=$B35)*(ROW(Table1[[Details]:[Details]])-ROW(Table1[[#Headers],[Details]])),COLUMNS($C$10:BU34))),"")</f>
        <v/>
      </c>
      <c r="BV35" t="str">
        <f>IF(COLUMNS($C$10:BV34)&lt;=$A35,INDEX(Table1[[PARTICULAR]:[PARTICULAR]],_xlfn.AGGREGATE(15,3,(Table1[[#This Row],[Details]:[Details]]=$B35)/(Table1[[#This Row],[Details]:[Details]]=$B35)*(ROW(Table1[[Details]:[Details]])-ROW(Table1[[#Headers],[Details]])),COLUMNS($C$10:BV34))),"")</f>
        <v/>
      </c>
      <c r="BW35" t="str">
        <f>IF(COLUMNS($C$10:BW34)&lt;=$A35,INDEX(Table1[[PARTICULAR]:[PARTICULAR]],_xlfn.AGGREGATE(15,3,(Table1[[#This Row],[Details]:[Details]]=$B35)/(Table1[[#This Row],[Details]:[Details]]=$B35)*(ROW(Table1[[Details]:[Details]])-ROW(Table1[[#Headers],[Details]])),COLUMNS($C$10:BW34))),"")</f>
        <v/>
      </c>
      <c r="BX35" t="str">
        <f>IF(COLUMNS($C$10:BX34)&lt;=$A35,INDEX(Table1[[PARTICULAR]:[PARTICULAR]],_xlfn.AGGREGATE(15,3,(Table1[[#This Row],[Details]:[Details]]=$B35)/(Table1[[#This Row],[Details]:[Details]]=$B35)*(ROW(Table1[[Details]:[Details]])-ROW(Table1[[#Headers],[Details]])),COLUMNS($C$10:BX34))),"")</f>
        <v/>
      </c>
      <c r="BY35" t="str">
        <f>IF(COLUMNS($C$10:BY34)&lt;=$A35,INDEX(Table1[[PARTICULAR]:[PARTICULAR]],_xlfn.AGGREGATE(15,3,(Table1[[#This Row],[Details]:[Details]]=$B35)/(Table1[[#This Row],[Details]:[Details]]=$B35)*(ROW(Table1[[Details]:[Details]])-ROW(Table1[[#Headers],[Details]])),COLUMNS($C$10:BY34))),"")</f>
        <v/>
      </c>
      <c r="BZ35" t="str">
        <f>IF(COLUMNS($C$10:BZ34)&lt;=$A35,INDEX(Table1[[PARTICULAR]:[PARTICULAR]],_xlfn.AGGREGATE(15,3,(Table1[[#This Row],[Details]:[Details]]=$B35)/(Table1[[#This Row],[Details]:[Details]]=$B35)*(ROW(Table1[[Details]:[Details]])-ROW(Table1[[#Headers],[Details]])),COLUMNS($C$10:BZ34))),"")</f>
        <v/>
      </c>
      <c r="CA35" t="str">
        <f>IF(COLUMNS($C$10:CA34)&lt;=$A35,INDEX(Table1[[PARTICULAR]:[PARTICULAR]],_xlfn.AGGREGATE(15,3,(Table1[[#This Row],[Details]:[Details]]=$B35)/(Table1[[#This Row],[Details]:[Details]]=$B35)*(ROW(Table1[[Details]:[Details]])-ROW(Table1[[#Headers],[Details]])),COLUMNS($C$10:CA34))),"")</f>
        <v/>
      </c>
      <c r="CB35" t="str">
        <f>IF(COLUMNS($C$10:CB34)&lt;=$A35,INDEX(Table1[[PARTICULAR]:[PARTICULAR]],_xlfn.AGGREGATE(15,3,(Table1[[#This Row],[Details]:[Details]]=$B35)/(Table1[[#This Row],[Details]:[Details]]=$B35)*(ROW(Table1[[Details]:[Details]])-ROW(Table1[[#Headers],[Details]])),COLUMNS($C$10:CB34))),"")</f>
        <v/>
      </c>
    </row>
    <row r="36" spans="2:80">
      <c r="B36" s="97" t="str">
        <f>IFERROR(INDEX(Table1[Details],MATCH(0,INDEX(COUNTIF($B$10:B35,Table1[Details]),),0)),"")</f>
        <v/>
      </c>
      <c r="C36" t="str">
        <f>IF(COLUMNS($C$10:C35)&lt;=$A36,INDEX(Table1[[PARTICULAR]:[PARTICULAR]],_xlfn.AGGREGATE(15,3,(Table1[[#This Row],[Details]:[Details]]=$B36)/(Table1[[#This Row],[Details]:[Details]]=$B36)*(ROW(Table1[[Details]:[Details]])-ROW(Table1[[#Headers],[Details]])),COLUMNS($C$10:C35))),"")</f>
        <v/>
      </c>
      <c r="D36" t="str">
        <f>IF(COLUMNS($C$10:D35)&lt;=$A36,INDEX(Table1[[PARTICULAR]:[PARTICULAR]],_xlfn.AGGREGATE(15,3,(Table1[[#This Row],[Details]:[Details]]=$B36)/(Table1[[#This Row],[Details]:[Details]]=$B36)*(ROW(Table1[[Details]:[Details]])-ROW(Table1[[#Headers],[Details]])),COLUMNS($C$10:D35))),"")</f>
        <v/>
      </c>
      <c r="E36" t="str">
        <f>IF(COLUMNS($C$10:E35)&lt;=$A36,INDEX(Table1[[PARTICULAR]:[PARTICULAR]],_xlfn.AGGREGATE(15,3,(Table1[[#This Row],[Details]:[Details]]=$B36)/(Table1[[#This Row],[Details]:[Details]]=$B36)*(ROW(Table1[[Details]:[Details]])-ROW(Table1[[#Headers],[Details]])),COLUMNS($C$10:E35))),"")</f>
        <v/>
      </c>
      <c r="F36" t="str">
        <f>IF(COLUMNS($C$10:F35)&lt;=$A36,INDEX(Table1[[PARTICULAR]:[PARTICULAR]],_xlfn.AGGREGATE(15,3,(Table1[[#This Row],[Details]:[Details]]=$B36)/(Table1[[#This Row],[Details]:[Details]]=$B36)*(ROW(Table1[[Details]:[Details]])-ROW(Table1[[#Headers],[Details]])),COLUMNS($C$10:F35))),"")</f>
        <v/>
      </c>
      <c r="G36" t="str">
        <f>IF(COLUMNS($C$10:G35)&lt;=$A36,INDEX(Table1[[PARTICULAR]:[PARTICULAR]],_xlfn.AGGREGATE(15,3,(Table1[[#This Row],[Details]:[Details]]=$B36)/(Table1[[#This Row],[Details]:[Details]]=$B36)*(ROW(Table1[[Details]:[Details]])-ROW(Table1[[#Headers],[Details]])),COLUMNS($C$10:G35))),"")</f>
        <v/>
      </c>
      <c r="H36" t="str">
        <f>IF(COLUMNS($C$10:H35)&lt;=$A36,INDEX(Table1[[PARTICULAR]:[PARTICULAR]],_xlfn.AGGREGATE(15,3,(Table1[[#This Row],[Details]:[Details]]=$B36)/(Table1[[#This Row],[Details]:[Details]]=$B36)*(ROW(Table1[[Details]:[Details]])-ROW(Table1[[#Headers],[Details]])),COLUMNS($C$10:H35))),"")</f>
        <v/>
      </c>
      <c r="I36" t="str">
        <f>IF(COLUMNS($C$10:I35)&lt;=$A36,INDEX(Table1[[PARTICULAR]:[PARTICULAR]],_xlfn.AGGREGATE(15,3,(Table1[[#This Row],[Details]:[Details]]=$B36)/(Table1[[#This Row],[Details]:[Details]]=$B36)*(ROW(Table1[[Details]:[Details]])-ROW(Table1[[#Headers],[Details]])),COLUMNS($C$10:I35))),"")</f>
        <v/>
      </c>
      <c r="J36" t="str">
        <f>IF(COLUMNS($C$10:J35)&lt;=$A36,INDEX(Table1[[PARTICULAR]:[PARTICULAR]],_xlfn.AGGREGATE(15,3,(Table1[[#This Row],[Details]:[Details]]=$B36)/(Table1[[#This Row],[Details]:[Details]]=$B36)*(ROW(Table1[[Details]:[Details]])-ROW(Table1[[#Headers],[Details]])),COLUMNS($C$10:J35))),"")</f>
        <v/>
      </c>
      <c r="K36" t="str">
        <f>IF(COLUMNS($C$10:K35)&lt;=$A36,INDEX(Table1[[PARTICULAR]:[PARTICULAR]],_xlfn.AGGREGATE(15,3,(Table1[[#This Row],[Details]:[Details]]=$B36)/(Table1[[#This Row],[Details]:[Details]]=$B36)*(ROW(Table1[[Details]:[Details]])-ROW(Table1[[#Headers],[Details]])),COLUMNS($C$10:K35))),"")</f>
        <v/>
      </c>
      <c r="L36" t="str">
        <f>IF(COLUMNS($C$10:L35)&lt;=$A36,INDEX(Table1[[PARTICULAR]:[PARTICULAR]],_xlfn.AGGREGATE(15,3,(Table1[[#This Row],[Details]:[Details]]=$B36)/(Table1[[#This Row],[Details]:[Details]]=$B36)*(ROW(Table1[[Details]:[Details]])-ROW(Table1[[#Headers],[Details]])),COLUMNS($C$10:L35))),"")</f>
        <v/>
      </c>
      <c r="M36" t="str">
        <f>IF(COLUMNS($C$10:M35)&lt;=$A36,INDEX(Table1[[PARTICULAR]:[PARTICULAR]],_xlfn.AGGREGATE(15,3,(Table1[[#This Row],[Details]:[Details]]=$B36)/(Table1[[#This Row],[Details]:[Details]]=$B36)*(ROW(Table1[[Details]:[Details]])-ROW(Table1[[#Headers],[Details]])),COLUMNS($C$10:M35))),"")</f>
        <v/>
      </c>
      <c r="N36" t="str">
        <f>IF(COLUMNS($C$10:N35)&lt;=$A36,INDEX(Table1[[PARTICULAR]:[PARTICULAR]],_xlfn.AGGREGATE(15,3,(Table1[[#This Row],[Details]:[Details]]=$B36)/(Table1[[#This Row],[Details]:[Details]]=$B36)*(ROW(Table1[[Details]:[Details]])-ROW(Table1[[#Headers],[Details]])),COLUMNS($C$10:N35))),"")</f>
        <v/>
      </c>
      <c r="O36" t="str">
        <f>IF(COLUMNS($C$10:O35)&lt;=$A36,INDEX(Table1[[PARTICULAR]:[PARTICULAR]],_xlfn.AGGREGATE(15,3,(Table1[[#This Row],[Details]:[Details]]=$B36)/(Table1[[#This Row],[Details]:[Details]]=$B36)*(ROW(Table1[[Details]:[Details]])-ROW(Table1[[#Headers],[Details]])),COLUMNS($C$10:O35))),"")</f>
        <v/>
      </c>
      <c r="P36" t="str">
        <f>IF(COLUMNS($C$10:P35)&lt;=$A36,INDEX(Table1[[PARTICULAR]:[PARTICULAR]],_xlfn.AGGREGATE(15,3,(Table1[[#This Row],[Details]:[Details]]=$B36)/(Table1[[#This Row],[Details]:[Details]]=$B36)*(ROW(Table1[[Details]:[Details]])-ROW(Table1[[#Headers],[Details]])),COLUMNS($C$10:P35))),"")</f>
        <v/>
      </c>
      <c r="Q36" t="str">
        <f>IF(COLUMNS($C$10:Q35)&lt;=$A36,INDEX(Table1[[PARTICULAR]:[PARTICULAR]],_xlfn.AGGREGATE(15,3,(Table1[[#This Row],[Details]:[Details]]=$B36)/(Table1[[#This Row],[Details]:[Details]]=$B36)*(ROW(Table1[[Details]:[Details]])-ROW(Table1[[#Headers],[Details]])),COLUMNS($C$10:Q35))),"")</f>
        <v/>
      </c>
      <c r="R36" t="str">
        <f>IF(COLUMNS($C$10:R35)&lt;=$A36,INDEX(Table1[[PARTICULAR]:[PARTICULAR]],_xlfn.AGGREGATE(15,3,(Table1[[#This Row],[Details]:[Details]]=$B36)/(Table1[[#This Row],[Details]:[Details]]=$B36)*(ROW(Table1[[Details]:[Details]])-ROW(Table1[[#Headers],[Details]])),COLUMNS($C$10:R35))),"")</f>
        <v/>
      </c>
      <c r="S36" t="str">
        <f>IF(COLUMNS($C$10:S35)&lt;=$A36,INDEX(Table1[[PARTICULAR]:[PARTICULAR]],_xlfn.AGGREGATE(15,3,(Table1[[#This Row],[Details]:[Details]]=$B36)/(Table1[[#This Row],[Details]:[Details]]=$B36)*(ROW(Table1[[Details]:[Details]])-ROW(Table1[[#Headers],[Details]])),COLUMNS($C$10:S35))),"")</f>
        <v/>
      </c>
      <c r="T36" t="str">
        <f>IF(COLUMNS($C$10:T35)&lt;=$A36,INDEX(Table1[[PARTICULAR]:[PARTICULAR]],_xlfn.AGGREGATE(15,3,(Table1[[#This Row],[Details]:[Details]]=$B36)/(Table1[[#This Row],[Details]:[Details]]=$B36)*(ROW(Table1[[Details]:[Details]])-ROW(Table1[[#Headers],[Details]])),COLUMNS($C$10:T35))),"")</f>
        <v/>
      </c>
      <c r="U36" t="str">
        <f>IF(COLUMNS($C$10:U35)&lt;=$A36,INDEX(Table1[[PARTICULAR]:[PARTICULAR]],_xlfn.AGGREGATE(15,3,(Table1[[#This Row],[Details]:[Details]]=$B36)/(Table1[[#This Row],[Details]:[Details]]=$B36)*(ROW(Table1[[Details]:[Details]])-ROW(Table1[[#Headers],[Details]])),COLUMNS($C$10:U35))),"")</f>
        <v/>
      </c>
      <c r="V36" t="str">
        <f>IF(COLUMNS($C$10:V35)&lt;=$A36,INDEX(Table1[[PARTICULAR]:[PARTICULAR]],_xlfn.AGGREGATE(15,3,(Table1[[#This Row],[Details]:[Details]]=$B36)/(Table1[[#This Row],[Details]:[Details]]=$B36)*(ROW(Table1[[Details]:[Details]])-ROW(Table1[[#Headers],[Details]])),COLUMNS($C$10:V35))),"")</f>
        <v/>
      </c>
      <c r="W36" t="str">
        <f>IF(COLUMNS($C$10:W35)&lt;=$A36,INDEX(Table1[[PARTICULAR]:[PARTICULAR]],_xlfn.AGGREGATE(15,3,(Table1[[#This Row],[Details]:[Details]]=$B36)/(Table1[[#This Row],[Details]:[Details]]=$B36)*(ROW(Table1[[Details]:[Details]])-ROW(Table1[[#Headers],[Details]])),COLUMNS($C$10:W35))),"")</f>
        <v/>
      </c>
      <c r="X36" t="str">
        <f>IF(COLUMNS($C$10:X35)&lt;=$A36,INDEX(Table1[[PARTICULAR]:[PARTICULAR]],_xlfn.AGGREGATE(15,3,(Table1[[#This Row],[Details]:[Details]]=$B36)/(Table1[[#This Row],[Details]:[Details]]=$B36)*(ROW(Table1[[Details]:[Details]])-ROW(Table1[[#Headers],[Details]])),COLUMNS($C$10:X35))),"")</f>
        <v/>
      </c>
      <c r="Y36" t="str">
        <f>IF(COLUMNS($C$10:Y35)&lt;=$A36,INDEX(Table1[[PARTICULAR]:[PARTICULAR]],_xlfn.AGGREGATE(15,3,(Table1[[#This Row],[Details]:[Details]]=$B36)/(Table1[[#This Row],[Details]:[Details]]=$B36)*(ROW(Table1[[Details]:[Details]])-ROW(Table1[[#Headers],[Details]])),COLUMNS($C$10:Y35))),"")</f>
        <v/>
      </c>
      <c r="Z36" t="str">
        <f>IF(COLUMNS($C$10:Z35)&lt;=$A36,INDEX(Table1[[PARTICULAR]:[PARTICULAR]],_xlfn.AGGREGATE(15,3,(Table1[[#This Row],[Details]:[Details]]=$B36)/(Table1[[#This Row],[Details]:[Details]]=$B36)*(ROW(Table1[[Details]:[Details]])-ROW(Table1[[#Headers],[Details]])),COLUMNS($C$10:Z35))),"")</f>
        <v/>
      </c>
      <c r="AA36" t="str">
        <f>IF(COLUMNS($C$10:AA35)&lt;=$A36,INDEX(Table1[[PARTICULAR]:[PARTICULAR]],_xlfn.AGGREGATE(15,3,(Table1[[#This Row],[Details]:[Details]]=$B36)/(Table1[[#This Row],[Details]:[Details]]=$B36)*(ROW(Table1[[Details]:[Details]])-ROW(Table1[[#Headers],[Details]])),COLUMNS($C$10:AA35))),"")</f>
        <v/>
      </c>
      <c r="AB36" t="str">
        <f>IF(COLUMNS($C$10:AB35)&lt;=$A36,INDEX(Table1[[PARTICULAR]:[PARTICULAR]],_xlfn.AGGREGATE(15,3,(Table1[[#This Row],[Details]:[Details]]=$B36)/(Table1[[#This Row],[Details]:[Details]]=$B36)*(ROW(Table1[[Details]:[Details]])-ROW(Table1[[#Headers],[Details]])),COLUMNS($C$10:AB35))),"")</f>
        <v/>
      </c>
      <c r="AC36" t="str">
        <f>IF(COLUMNS($C$10:AC35)&lt;=$A36,INDEX(Table1[[PARTICULAR]:[PARTICULAR]],_xlfn.AGGREGATE(15,3,(Table1[[#This Row],[Details]:[Details]]=$B36)/(Table1[[#This Row],[Details]:[Details]]=$B36)*(ROW(Table1[[Details]:[Details]])-ROW(Table1[[#Headers],[Details]])),COLUMNS($C$10:AC35))),"")</f>
        <v/>
      </c>
      <c r="AD36" t="str">
        <f>IF(COLUMNS($C$10:AD35)&lt;=$A36,INDEX(Table1[[PARTICULAR]:[PARTICULAR]],_xlfn.AGGREGATE(15,3,(Table1[[#This Row],[Details]:[Details]]=$B36)/(Table1[[#This Row],[Details]:[Details]]=$B36)*(ROW(Table1[[Details]:[Details]])-ROW(Table1[[#Headers],[Details]])),COLUMNS($C$10:AD35))),"")</f>
        <v/>
      </c>
      <c r="AE36" t="str">
        <f>IF(COLUMNS($C$10:AE35)&lt;=$A36,INDEX(Table1[[PARTICULAR]:[PARTICULAR]],_xlfn.AGGREGATE(15,3,(Table1[[#This Row],[Details]:[Details]]=$B36)/(Table1[[#This Row],[Details]:[Details]]=$B36)*(ROW(Table1[[Details]:[Details]])-ROW(Table1[[#Headers],[Details]])),COLUMNS($C$10:AE35))),"")</f>
        <v/>
      </c>
      <c r="AF36" t="str">
        <f>IF(COLUMNS($C$10:AF35)&lt;=$A36,INDEX(Table1[[PARTICULAR]:[PARTICULAR]],_xlfn.AGGREGATE(15,3,(Table1[[#This Row],[Details]:[Details]]=$B36)/(Table1[[#This Row],[Details]:[Details]]=$B36)*(ROW(Table1[[Details]:[Details]])-ROW(Table1[[#Headers],[Details]])),COLUMNS($C$10:AF35))),"")</f>
        <v/>
      </c>
      <c r="AG36" t="str">
        <f>IF(COLUMNS($C$10:AG35)&lt;=$A36,INDEX(Table1[[PARTICULAR]:[PARTICULAR]],_xlfn.AGGREGATE(15,3,(Table1[[#This Row],[Details]:[Details]]=$B36)/(Table1[[#This Row],[Details]:[Details]]=$B36)*(ROW(Table1[[Details]:[Details]])-ROW(Table1[[#Headers],[Details]])),COLUMNS($C$10:AG35))),"")</f>
        <v/>
      </c>
      <c r="AH36" t="str">
        <f>IF(COLUMNS($C$10:AH35)&lt;=$A36,INDEX(Table1[[PARTICULAR]:[PARTICULAR]],_xlfn.AGGREGATE(15,3,(Table1[[#This Row],[Details]:[Details]]=$B36)/(Table1[[#This Row],[Details]:[Details]]=$B36)*(ROW(Table1[[Details]:[Details]])-ROW(Table1[[#Headers],[Details]])),COLUMNS($C$10:AH35))),"")</f>
        <v/>
      </c>
      <c r="AI36" t="str">
        <f>IF(COLUMNS($C$10:AI35)&lt;=$A36,INDEX(Table1[[PARTICULAR]:[PARTICULAR]],_xlfn.AGGREGATE(15,3,(Table1[[#This Row],[Details]:[Details]]=$B36)/(Table1[[#This Row],[Details]:[Details]]=$B36)*(ROW(Table1[[Details]:[Details]])-ROW(Table1[[#Headers],[Details]])),COLUMNS($C$10:AI35))),"")</f>
        <v/>
      </c>
      <c r="AJ36" t="str">
        <f>IF(COLUMNS($C$10:AJ35)&lt;=$A36,INDEX(Table1[[PARTICULAR]:[PARTICULAR]],_xlfn.AGGREGATE(15,3,(Table1[[#This Row],[Details]:[Details]]=$B36)/(Table1[[#This Row],[Details]:[Details]]=$B36)*(ROW(Table1[[Details]:[Details]])-ROW(Table1[[#Headers],[Details]])),COLUMNS($C$10:AJ35))),"")</f>
        <v/>
      </c>
      <c r="AK36" t="str">
        <f>IF(COLUMNS($C$10:AK35)&lt;=$A36,INDEX(Table1[[PARTICULAR]:[PARTICULAR]],_xlfn.AGGREGATE(15,3,(Table1[[#This Row],[Details]:[Details]]=$B36)/(Table1[[#This Row],[Details]:[Details]]=$B36)*(ROW(Table1[[Details]:[Details]])-ROW(Table1[[#Headers],[Details]])),COLUMNS($C$10:AK35))),"")</f>
        <v/>
      </c>
      <c r="AL36" t="str">
        <f>IF(COLUMNS($C$10:AL35)&lt;=$A36,INDEX(Table1[[PARTICULAR]:[PARTICULAR]],_xlfn.AGGREGATE(15,3,(Table1[[#This Row],[Details]:[Details]]=$B36)/(Table1[[#This Row],[Details]:[Details]]=$B36)*(ROW(Table1[[Details]:[Details]])-ROW(Table1[[#Headers],[Details]])),COLUMNS($C$10:AL35))),"")</f>
        <v/>
      </c>
      <c r="AM36" t="str">
        <f>IF(COLUMNS($C$10:AM35)&lt;=$A36,INDEX(Table1[[PARTICULAR]:[PARTICULAR]],_xlfn.AGGREGATE(15,3,(Table1[[#This Row],[Details]:[Details]]=$B36)/(Table1[[#This Row],[Details]:[Details]]=$B36)*(ROW(Table1[[Details]:[Details]])-ROW(Table1[[#Headers],[Details]])),COLUMNS($C$10:AM35))),"")</f>
        <v/>
      </c>
      <c r="AN36" t="str">
        <f>IF(COLUMNS($C$10:AN35)&lt;=$A36,INDEX(Table1[[PARTICULAR]:[PARTICULAR]],_xlfn.AGGREGATE(15,3,(Table1[[#This Row],[Details]:[Details]]=$B36)/(Table1[[#This Row],[Details]:[Details]]=$B36)*(ROW(Table1[[Details]:[Details]])-ROW(Table1[[#Headers],[Details]])),COLUMNS($C$10:AN35))),"")</f>
        <v/>
      </c>
      <c r="AO36" t="str">
        <f>IF(COLUMNS($C$10:AO35)&lt;=$A36,INDEX(Table1[[PARTICULAR]:[PARTICULAR]],_xlfn.AGGREGATE(15,3,(Table1[[#This Row],[Details]:[Details]]=$B36)/(Table1[[#This Row],[Details]:[Details]]=$B36)*(ROW(Table1[[Details]:[Details]])-ROW(Table1[[#Headers],[Details]])),COLUMNS($C$10:AO35))),"")</f>
        <v/>
      </c>
      <c r="AP36" t="str">
        <f>IF(COLUMNS($C$10:AP35)&lt;=$A36,INDEX(Table1[[PARTICULAR]:[PARTICULAR]],_xlfn.AGGREGATE(15,3,(Table1[[#This Row],[Details]:[Details]]=$B36)/(Table1[[#This Row],[Details]:[Details]]=$B36)*(ROW(Table1[[Details]:[Details]])-ROW(Table1[[#Headers],[Details]])),COLUMNS($C$10:AP35))),"")</f>
        <v/>
      </c>
      <c r="AQ36" t="str">
        <f>IF(COLUMNS($C$10:AQ35)&lt;=$A36,INDEX(Table1[[PARTICULAR]:[PARTICULAR]],_xlfn.AGGREGATE(15,3,(Table1[[#This Row],[Details]:[Details]]=$B36)/(Table1[[#This Row],[Details]:[Details]]=$B36)*(ROW(Table1[[Details]:[Details]])-ROW(Table1[[#Headers],[Details]])),COLUMNS($C$10:AQ35))),"")</f>
        <v/>
      </c>
      <c r="AR36" t="str">
        <f>IF(COLUMNS($C$10:AR35)&lt;=$A36,INDEX(Table1[[PARTICULAR]:[PARTICULAR]],_xlfn.AGGREGATE(15,3,(Table1[[#This Row],[Details]:[Details]]=$B36)/(Table1[[#This Row],[Details]:[Details]]=$B36)*(ROW(Table1[[Details]:[Details]])-ROW(Table1[[#Headers],[Details]])),COLUMNS($C$10:AR35))),"")</f>
        <v/>
      </c>
      <c r="AS36" t="str">
        <f>IF(COLUMNS($C$10:AS35)&lt;=$A36,INDEX(Table1[[PARTICULAR]:[PARTICULAR]],_xlfn.AGGREGATE(15,3,(Table1[[#This Row],[Details]:[Details]]=$B36)/(Table1[[#This Row],[Details]:[Details]]=$B36)*(ROW(Table1[[Details]:[Details]])-ROW(Table1[[#Headers],[Details]])),COLUMNS($C$10:AS35))),"")</f>
        <v/>
      </c>
      <c r="AT36" t="str">
        <f>IF(COLUMNS($C$10:AT35)&lt;=$A36,INDEX(Table1[[PARTICULAR]:[PARTICULAR]],_xlfn.AGGREGATE(15,3,(Table1[[#This Row],[Details]:[Details]]=$B36)/(Table1[[#This Row],[Details]:[Details]]=$B36)*(ROW(Table1[[Details]:[Details]])-ROW(Table1[[#Headers],[Details]])),COLUMNS($C$10:AT35))),"")</f>
        <v/>
      </c>
      <c r="AU36" t="str">
        <f>IF(COLUMNS($C$10:AU35)&lt;=$A36,INDEX(Table1[[PARTICULAR]:[PARTICULAR]],_xlfn.AGGREGATE(15,3,(Table1[[#This Row],[Details]:[Details]]=$B36)/(Table1[[#This Row],[Details]:[Details]]=$B36)*(ROW(Table1[[Details]:[Details]])-ROW(Table1[[#Headers],[Details]])),COLUMNS($C$10:AU35))),"")</f>
        <v/>
      </c>
      <c r="AV36" t="str">
        <f>IF(COLUMNS($C$10:AV35)&lt;=$A36,INDEX(Table1[[PARTICULAR]:[PARTICULAR]],_xlfn.AGGREGATE(15,3,(Table1[[#This Row],[Details]:[Details]]=$B36)/(Table1[[#This Row],[Details]:[Details]]=$B36)*(ROW(Table1[[Details]:[Details]])-ROW(Table1[[#Headers],[Details]])),COLUMNS($C$10:AV35))),"")</f>
        <v/>
      </c>
      <c r="AW36" t="str">
        <f>IF(COLUMNS($C$10:AW35)&lt;=$A36,INDEX(Table1[[PARTICULAR]:[PARTICULAR]],_xlfn.AGGREGATE(15,3,(Table1[[#This Row],[Details]:[Details]]=$B36)/(Table1[[#This Row],[Details]:[Details]]=$B36)*(ROW(Table1[[Details]:[Details]])-ROW(Table1[[#Headers],[Details]])),COLUMNS($C$10:AW35))),"")</f>
        <v/>
      </c>
      <c r="AX36" t="str">
        <f>IF(COLUMNS($C$10:AX35)&lt;=$A36,INDEX(Table1[[PARTICULAR]:[PARTICULAR]],_xlfn.AGGREGATE(15,3,(Table1[[#This Row],[Details]:[Details]]=$B36)/(Table1[[#This Row],[Details]:[Details]]=$B36)*(ROW(Table1[[Details]:[Details]])-ROW(Table1[[#Headers],[Details]])),COLUMNS($C$10:AX35))),"")</f>
        <v/>
      </c>
      <c r="AY36" t="str">
        <f>IF(COLUMNS($C$10:AY35)&lt;=$A36,INDEX(Table1[[PARTICULAR]:[PARTICULAR]],_xlfn.AGGREGATE(15,3,(Table1[[#This Row],[Details]:[Details]]=$B36)/(Table1[[#This Row],[Details]:[Details]]=$B36)*(ROW(Table1[[Details]:[Details]])-ROW(Table1[[#Headers],[Details]])),COLUMNS($C$10:AY35))),"")</f>
        <v/>
      </c>
      <c r="AZ36" t="str">
        <f>IF(COLUMNS($C$10:AZ35)&lt;=$A36,INDEX(Table1[[PARTICULAR]:[PARTICULAR]],_xlfn.AGGREGATE(15,3,(Table1[[#This Row],[Details]:[Details]]=$B36)/(Table1[[#This Row],[Details]:[Details]]=$B36)*(ROW(Table1[[Details]:[Details]])-ROW(Table1[[#Headers],[Details]])),COLUMNS($C$10:AZ35))),"")</f>
        <v/>
      </c>
      <c r="BA36" t="str">
        <f>IF(COLUMNS($C$10:BA35)&lt;=$A36,INDEX(Table1[[PARTICULAR]:[PARTICULAR]],_xlfn.AGGREGATE(15,3,(Table1[[#This Row],[Details]:[Details]]=$B36)/(Table1[[#This Row],[Details]:[Details]]=$B36)*(ROW(Table1[[Details]:[Details]])-ROW(Table1[[#Headers],[Details]])),COLUMNS($C$10:BA35))),"")</f>
        <v/>
      </c>
      <c r="BB36" t="str">
        <f>IF(COLUMNS($C$10:BB35)&lt;=$A36,INDEX(Table1[[PARTICULAR]:[PARTICULAR]],_xlfn.AGGREGATE(15,3,(Table1[[#This Row],[Details]:[Details]]=$B36)/(Table1[[#This Row],[Details]:[Details]]=$B36)*(ROW(Table1[[Details]:[Details]])-ROW(Table1[[#Headers],[Details]])),COLUMNS($C$10:BB35))),"")</f>
        <v/>
      </c>
      <c r="BC36" t="str">
        <f>IF(COLUMNS($C$10:BC35)&lt;=$A36,INDEX(Table1[[PARTICULAR]:[PARTICULAR]],_xlfn.AGGREGATE(15,3,(Table1[[#This Row],[Details]:[Details]]=$B36)/(Table1[[#This Row],[Details]:[Details]]=$B36)*(ROW(Table1[[Details]:[Details]])-ROW(Table1[[#Headers],[Details]])),COLUMNS($C$10:BC35))),"")</f>
        <v/>
      </c>
      <c r="BD36" t="str">
        <f>IF(COLUMNS($C$10:BD35)&lt;=$A36,INDEX(Table1[[PARTICULAR]:[PARTICULAR]],_xlfn.AGGREGATE(15,3,(Table1[[#This Row],[Details]:[Details]]=$B36)/(Table1[[#This Row],[Details]:[Details]]=$B36)*(ROW(Table1[[Details]:[Details]])-ROW(Table1[[#Headers],[Details]])),COLUMNS($C$10:BD35))),"")</f>
        <v/>
      </c>
      <c r="BE36" t="str">
        <f>IF(COLUMNS($C$10:BE35)&lt;=$A36,INDEX(Table1[[PARTICULAR]:[PARTICULAR]],_xlfn.AGGREGATE(15,3,(Table1[[#This Row],[Details]:[Details]]=$B36)/(Table1[[#This Row],[Details]:[Details]]=$B36)*(ROW(Table1[[Details]:[Details]])-ROW(Table1[[#Headers],[Details]])),COLUMNS($C$10:BE35))),"")</f>
        <v/>
      </c>
      <c r="BF36" t="str">
        <f>IF(COLUMNS($C$10:BF35)&lt;=$A36,INDEX(Table1[[PARTICULAR]:[PARTICULAR]],_xlfn.AGGREGATE(15,3,(Table1[[#This Row],[Details]:[Details]]=$B36)/(Table1[[#This Row],[Details]:[Details]]=$B36)*(ROW(Table1[[Details]:[Details]])-ROW(Table1[[#Headers],[Details]])),COLUMNS($C$10:BF35))),"")</f>
        <v/>
      </c>
      <c r="BG36" t="str">
        <f>IF(COLUMNS($C$10:BG35)&lt;=$A36,INDEX(Table1[[PARTICULAR]:[PARTICULAR]],_xlfn.AGGREGATE(15,3,(Table1[[#This Row],[Details]:[Details]]=$B36)/(Table1[[#This Row],[Details]:[Details]]=$B36)*(ROW(Table1[[Details]:[Details]])-ROW(Table1[[#Headers],[Details]])),COLUMNS($C$10:BG35))),"")</f>
        <v/>
      </c>
      <c r="BH36" t="str">
        <f>IF(COLUMNS($C$10:BH35)&lt;=$A36,INDEX(Table1[[PARTICULAR]:[PARTICULAR]],_xlfn.AGGREGATE(15,3,(Table1[[#This Row],[Details]:[Details]]=$B36)/(Table1[[#This Row],[Details]:[Details]]=$B36)*(ROW(Table1[[Details]:[Details]])-ROW(Table1[[#Headers],[Details]])),COLUMNS($C$10:BH35))),"")</f>
        <v/>
      </c>
      <c r="BI36" t="str">
        <f>IF(COLUMNS($C$10:BI35)&lt;=$A36,INDEX(Table1[[PARTICULAR]:[PARTICULAR]],_xlfn.AGGREGATE(15,3,(Table1[[#This Row],[Details]:[Details]]=$B36)/(Table1[[#This Row],[Details]:[Details]]=$B36)*(ROW(Table1[[Details]:[Details]])-ROW(Table1[[#Headers],[Details]])),COLUMNS($C$10:BI35))),"")</f>
        <v/>
      </c>
      <c r="BJ36" t="str">
        <f>IF(COLUMNS($C$10:BJ35)&lt;=$A36,INDEX(Table1[[PARTICULAR]:[PARTICULAR]],_xlfn.AGGREGATE(15,3,(Table1[[#This Row],[Details]:[Details]]=$B36)/(Table1[[#This Row],[Details]:[Details]]=$B36)*(ROW(Table1[[Details]:[Details]])-ROW(Table1[[#Headers],[Details]])),COLUMNS($C$10:BJ35))),"")</f>
        <v/>
      </c>
      <c r="BK36" t="str">
        <f>IF(COLUMNS($C$10:BK35)&lt;=$A36,INDEX(Table1[[PARTICULAR]:[PARTICULAR]],_xlfn.AGGREGATE(15,3,(Table1[[#This Row],[Details]:[Details]]=$B36)/(Table1[[#This Row],[Details]:[Details]]=$B36)*(ROW(Table1[[Details]:[Details]])-ROW(Table1[[#Headers],[Details]])),COLUMNS($C$10:BK35))),"")</f>
        <v/>
      </c>
      <c r="BL36" t="str">
        <f>IF(COLUMNS($C$10:BL35)&lt;=$A36,INDEX(Table1[[PARTICULAR]:[PARTICULAR]],_xlfn.AGGREGATE(15,3,(Table1[[#This Row],[Details]:[Details]]=$B36)/(Table1[[#This Row],[Details]:[Details]]=$B36)*(ROW(Table1[[Details]:[Details]])-ROW(Table1[[#Headers],[Details]])),COLUMNS($C$10:BL35))),"")</f>
        <v/>
      </c>
      <c r="BM36" t="str">
        <f>IF(COLUMNS($C$10:BM35)&lt;=$A36,INDEX(Table1[[PARTICULAR]:[PARTICULAR]],_xlfn.AGGREGATE(15,3,(Table1[[#This Row],[Details]:[Details]]=$B36)/(Table1[[#This Row],[Details]:[Details]]=$B36)*(ROW(Table1[[Details]:[Details]])-ROW(Table1[[#Headers],[Details]])),COLUMNS($C$10:BM35))),"")</f>
        <v/>
      </c>
      <c r="BN36" t="str">
        <f>IF(COLUMNS($C$10:BN35)&lt;=$A36,INDEX(Table1[[PARTICULAR]:[PARTICULAR]],_xlfn.AGGREGATE(15,3,(Table1[[#This Row],[Details]:[Details]]=$B36)/(Table1[[#This Row],[Details]:[Details]]=$B36)*(ROW(Table1[[Details]:[Details]])-ROW(Table1[[#Headers],[Details]])),COLUMNS($C$10:BN35))),"")</f>
        <v/>
      </c>
      <c r="BO36" t="str">
        <f>IF(COLUMNS($C$10:BO35)&lt;=$A36,INDEX(Table1[[PARTICULAR]:[PARTICULAR]],_xlfn.AGGREGATE(15,3,(Table1[[#This Row],[Details]:[Details]]=$B36)/(Table1[[#This Row],[Details]:[Details]]=$B36)*(ROW(Table1[[Details]:[Details]])-ROW(Table1[[#Headers],[Details]])),COLUMNS($C$10:BO35))),"")</f>
        <v/>
      </c>
      <c r="BP36" t="str">
        <f>IF(COLUMNS($C$10:BP35)&lt;=$A36,INDEX(Table1[[PARTICULAR]:[PARTICULAR]],_xlfn.AGGREGATE(15,3,(Table1[[#This Row],[Details]:[Details]]=$B36)/(Table1[[#This Row],[Details]:[Details]]=$B36)*(ROW(Table1[[Details]:[Details]])-ROW(Table1[[#Headers],[Details]])),COLUMNS($C$10:BP35))),"")</f>
        <v/>
      </c>
      <c r="BQ36" t="str">
        <f>IF(COLUMNS($C$10:BQ35)&lt;=$A36,INDEX(Table1[[PARTICULAR]:[PARTICULAR]],_xlfn.AGGREGATE(15,3,(Table1[[#This Row],[Details]:[Details]]=$B36)/(Table1[[#This Row],[Details]:[Details]]=$B36)*(ROW(Table1[[Details]:[Details]])-ROW(Table1[[#Headers],[Details]])),COLUMNS($C$10:BQ35))),"")</f>
        <v/>
      </c>
      <c r="BR36" t="str">
        <f>IF(COLUMNS($C$10:BR35)&lt;=$A36,INDEX(Table1[[PARTICULAR]:[PARTICULAR]],_xlfn.AGGREGATE(15,3,(Table1[[#This Row],[Details]:[Details]]=$B36)/(Table1[[#This Row],[Details]:[Details]]=$B36)*(ROW(Table1[[Details]:[Details]])-ROW(Table1[[#Headers],[Details]])),COLUMNS($C$10:BR35))),"")</f>
        <v/>
      </c>
      <c r="BS36" t="str">
        <f>IF(COLUMNS($C$10:BS35)&lt;=$A36,INDEX(Table1[[PARTICULAR]:[PARTICULAR]],_xlfn.AGGREGATE(15,3,(Table1[[#This Row],[Details]:[Details]]=$B36)/(Table1[[#This Row],[Details]:[Details]]=$B36)*(ROW(Table1[[Details]:[Details]])-ROW(Table1[[#Headers],[Details]])),COLUMNS($C$10:BS35))),"")</f>
        <v/>
      </c>
      <c r="BT36" t="str">
        <f>IF(COLUMNS($C$10:BT35)&lt;=$A36,INDEX(Table1[[PARTICULAR]:[PARTICULAR]],_xlfn.AGGREGATE(15,3,(Table1[[#This Row],[Details]:[Details]]=$B36)/(Table1[[#This Row],[Details]:[Details]]=$B36)*(ROW(Table1[[Details]:[Details]])-ROW(Table1[[#Headers],[Details]])),COLUMNS($C$10:BT35))),"")</f>
        <v/>
      </c>
      <c r="BU36" t="str">
        <f>IF(COLUMNS($C$10:BU35)&lt;=$A36,INDEX(Table1[[PARTICULAR]:[PARTICULAR]],_xlfn.AGGREGATE(15,3,(Table1[[#This Row],[Details]:[Details]]=$B36)/(Table1[[#This Row],[Details]:[Details]]=$B36)*(ROW(Table1[[Details]:[Details]])-ROW(Table1[[#Headers],[Details]])),COLUMNS($C$10:BU35))),"")</f>
        <v/>
      </c>
      <c r="BV36" t="str">
        <f>IF(COLUMNS($C$10:BV35)&lt;=$A36,INDEX(Table1[[PARTICULAR]:[PARTICULAR]],_xlfn.AGGREGATE(15,3,(Table1[[#This Row],[Details]:[Details]]=$B36)/(Table1[[#This Row],[Details]:[Details]]=$B36)*(ROW(Table1[[Details]:[Details]])-ROW(Table1[[#Headers],[Details]])),COLUMNS($C$10:BV35))),"")</f>
        <v/>
      </c>
      <c r="BW36" t="str">
        <f>IF(COLUMNS($C$10:BW35)&lt;=$A36,INDEX(Table1[[PARTICULAR]:[PARTICULAR]],_xlfn.AGGREGATE(15,3,(Table1[[#This Row],[Details]:[Details]]=$B36)/(Table1[[#This Row],[Details]:[Details]]=$B36)*(ROW(Table1[[Details]:[Details]])-ROW(Table1[[#Headers],[Details]])),COLUMNS($C$10:BW35))),"")</f>
        <v/>
      </c>
      <c r="BX36" t="str">
        <f>IF(COLUMNS($C$10:BX35)&lt;=$A36,INDEX(Table1[[PARTICULAR]:[PARTICULAR]],_xlfn.AGGREGATE(15,3,(Table1[[#This Row],[Details]:[Details]]=$B36)/(Table1[[#This Row],[Details]:[Details]]=$B36)*(ROW(Table1[[Details]:[Details]])-ROW(Table1[[#Headers],[Details]])),COLUMNS($C$10:BX35))),"")</f>
        <v/>
      </c>
      <c r="BY36" t="str">
        <f>IF(COLUMNS($C$10:BY35)&lt;=$A36,INDEX(Table1[[PARTICULAR]:[PARTICULAR]],_xlfn.AGGREGATE(15,3,(Table1[[#This Row],[Details]:[Details]]=$B36)/(Table1[[#This Row],[Details]:[Details]]=$B36)*(ROW(Table1[[Details]:[Details]])-ROW(Table1[[#Headers],[Details]])),COLUMNS($C$10:BY35))),"")</f>
        <v/>
      </c>
      <c r="BZ36" t="str">
        <f>IF(COLUMNS($C$10:BZ35)&lt;=$A36,INDEX(Table1[[PARTICULAR]:[PARTICULAR]],_xlfn.AGGREGATE(15,3,(Table1[[#This Row],[Details]:[Details]]=$B36)/(Table1[[#This Row],[Details]:[Details]]=$B36)*(ROW(Table1[[Details]:[Details]])-ROW(Table1[[#Headers],[Details]])),COLUMNS($C$10:BZ35))),"")</f>
        <v/>
      </c>
      <c r="CA36" t="str">
        <f>IF(COLUMNS($C$10:CA35)&lt;=$A36,INDEX(Table1[[PARTICULAR]:[PARTICULAR]],_xlfn.AGGREGATE(15,3,(Table1[[#This Row],[Details]:[Details]]=$B36)/(Table1[[#This Row],[Details]:[Details]]=$B36)*(ROW(Table1[[Details]:[Details]])-ROW(Table1[[#Headers],[Details]])),COLUMNS($C$10:CA35))),"")</f>
        <v/>
      </c>
      <c r="CB36" t="str">
        <f>IF(COLUMNS($C$10:CB35)&lt;=$A36,INDEX(Table1[[PARTICULAR]:[PARTICULAR]],_xlfn.AGGREGATE(15,3,(Table1[[#This Row],[Details]:[Details]]=$B36)/(Table1[[#This Row],[Details]:[Details]]=$B36)*(ROW(Table1[[Details]:[Details]])-ROW(Table1[[#Headers],[Details]])),COLUMNS($C$10:CB35))),"")</f>
        <v/>
      </c>
    </row>
    <row r="37" spans="2:80">
      <c r="B37" s="97" t="str">
        <f>IFERROR(INDEX(Table1[Details],MATCH(0,INDEX(COUNTIF($B$10:B36,Table1[Details]),),0)),"")</f>
        <v/>
      </c>
      <c r="C37" t="str">
        <f>IF(COLUMNS($C$10:C36)&lt;=$A37,INDEX(Table1[[PARTICULAR]:[PARTICULAR]],_xlfn.AGGREGATE(15,3,(Table1[[#This Row],[Details]:[Details]]=$B37)/(Table1[[#This Row],[Details]:[Details]]=$B37)*(ROW(Table1[[Details]:[Details]])-ROW(Table1[[#Headers],[Details]])),COLUMNS($C$10:C36))),"")</f>
        <v/>
      </c>
      <c r="D37" t="str">
        <f>IF(COLUMNS($C$10:D36)&lt;=$A37,INDEX(Table1[[PARTICULAR]:[PARTICULAR]],_xlfn.AGGREGATE(15,3,(Table1[[#This Row],[Details]:[Details]]=$B37)/(Table1[[#This Row],[Details]:[Details]]=$B37)*(ROW(Table1[[Details]:[Details]])-ROW(Table1[[#Headers],[Details]])),COLUMNS($C$10:D36))),"")</f>
        <v/>
      </c>
      <c r="E37" t="str">
        <f>IF(COLUMNS($C$10:E36)&lt;=$A37,INDEX(Table1[[PARTICULAR]:[PARTICULAR]],_xlfn.AGGREGATE(15,3,(Table1[[#This Row],[Details]:[Details]]=$B37)/(Table1[[#This Row],[Details]:[Details]]=$B37)*(ROW(Table1[[Details]:[Details]])-ROW(Table1[[#Headers],[Details]])),COLUMNS($C$10:E36))),"")</f>
        <v/>
      </c>
      <c r="F37" t="str">
        <f>IF(COLUMNS($C$10:F36)&lt;=$A37,INDEX(Table1[[PARTICULAR]:[PARTICULAR]],_xlfn.AGGREGATE(15,3,(Table1[[#This Row],[Details]:[Details]]=$B37)/(Table1[[#This Row],[Details]:[Details]]=$B37)*(ROW(Table1[[Details]:[Details]])-ROW(Table1[[#Headers],[Details]])),COLUMNS($C$10:F36))),"")</f>
        <v/>
      </c>
      <c r="G37" t="str">
        <f>IF(COLUMNS($C$10:G36)&lt;=$A37,INDEX(Table1[[PARTICULAR]:[PARTICULAR]],_xlfn.AGGREGATE(15,3,(Table1[[#This Row],[Details]:[Details]]=$B37)/(Table1[[#This Row],[Details]:[Details]]=$B37)*(ROW(Table1[[Details]:[Details]])-ROW(Table1[[#Headers],[Details]])),COLUMNS($C$10:G36))),"")</f>
        <v/>
      </c>
      <c r="H37" t="str">
        <f>IF(COLUMNS($C$10:H36)&lt;=$A37,INDEX(Table1[[PARTICULAR]:[PARTICULAR]],_xlfn.AGGREGATE(15,3,(Table1[[#This Row],[Details]:[Details]]=$B37)/(Table1[[#This Row],[Details]:[Details]]=$B37)*(ROW(Table1[[Details]:[Details]])-ROW(Table1[[#Headers],[Details]])),COLUMNS($C$10:H36))),"")</f>
        <v/>
      </c>
      <c r="I37" t="str">
        <f>IF(COLUMNS($C$10:I36)&lt;=$A37,INDEX(Table1[[PARTICULAR]:[PARTICULAR]],_xlfn.AGGREGATE(15,3,(Table1[[#This Row],[Details]:[Details]]=$B37)/(Table1[[#This Row],[Details]:[Details]]=$B37)*(ROW(Table1[[Details]:[Details]])-ROW(Table1[[#Headers],[Details]])),COLUMNS($C$10:I36))),"")</f>
        <v/>
      </c>
      <c r="J37" t="str">
        <f>IF(COLUMNS($C$10:J36)&lt;=$A37,INDEX(Table1[[PARTICULAR]:[PARTICULAR]],_xlfn.AGGREGATE(15,3,(Table1[[#This Row],[Details]:[Details]]=$B37)/(Table1[[#This Row],[Details]:[Details]]=$B37)*(ROW(Table1[[Details]:[Details]])-ROW(Table1[[#Headers],[Details]])),COLUMNS($C$10:J36))),"")</f>
        <v/>
      </c>
      <c r="K37" t="str">
        <f>IF(COLUMNS($C$10:K36)&lt;=$A37,INDEX(Table1[[PARTICULAR]:[PARTICULAR]],_xlfn.AGGREGATE(15,3,(Table1[[#This Row],[Details]:[Details]]=$B37)/(Table1[[#This Row],[Details]:[Details]]=$B37)*(ROW(Table1[[Details]:[Details]])-ROW(Table1[[#Headers],[Details]])),COLUMNS($C$10:K36))),"")</f>
        <v/>
      </c>
      <c r="L37" t="str">
        <f>IF(COLUMNS($C$10:L36)&lt;=$A37,INDEX(Table1[[PARTICULAR]:[PARTICULAR]],_xlfn.AGGREGATE(15,3,(Table1[[#This Row],[Details]:[Details]]=$B37)/(Table1[[#This Row],[Details]:[Details]]=$B37)*(ROW(Table1[[Details]:[Details]])-ROW(Table1[[#Headers],[Details]])),COLUMNS($C$10:L36))),"")</f>
        <v/>
      </c>
      <c r="M37" t="str">
        <f>IF(COLUMNS($C$10:M36)&lt;=$A37,INDEX(Table1[[PARTICULAR]:[PARTICULAR]],_xlfn.AGGREGATE(15,3,(Table1[[#This Row],[Details]:[Details]]=$B37)/(Table1[[#This Row],[Details]:[Details]]=$B37)*(ROW(Table1[[Details]:[Details]])-ROW(Table1[[#Headers],[Details]])),COLUMNS($C$10:M36))),"")</f>
        <v/>
      </c>
      <c r="N37" t="str">
        <f>IF(COLUMNS($C$10:N36)&lt;=$A37,INDEX(Table1[[PARTICULAR]:[PARTICULAR]],_xlfn.AGGREGATE(15,3,(Table1[[#This Row],[Details]:[Details]]=$B37)/(Table1[[#This Row],[Details]:[Details]]=$B37)*(ROW(Table1[[Details]:[Details]])-ROW(Table1[[#Headers],[Details]])),COLUMNS($C$10:N36))),"")</f>
        <v/>
      </c>
      <c r="O37" t="str">
        <f>IF(COLUMNS($C$10:O36)&lt;=$A37,INDEX(Table1[[PARTICULAR]:[PARTICULAR]],_xlfn.AGGREGATE(15,3,(Table1[[#This Row],[Details]:[Details]]=$B37)/(Table1[[#This Row],[Details]:[Details]]=$B37)*(ROW(Table1[[Details]:[Details]])-ROW(Table1[[#Headers],[Details]])),COLUMNS($C$10:O36))),"")</f>
        <v/>
      </c>
      <c r="P37" t="str">
        <f>IF(COLUMNS($C$10:P36)&lt;=$A37,INDEX(Table1[[PARTICULAR]:[PARTICULAR]],_xlfn.AGGREGATE(15,3,(Table1[[#This Row],[Details]:[Details]]=$B37)/(Table1[[#This Row],[Details]:[Details]]=$B37)*(ROW(Table1[[Details]:[Details]])-ROW(Table1[[#Headers],[Details]])),COLUMNS($C$10:P36))),"")</f>
        <v/>
      </c>
      <c r="Q37" t="str">
        <f>IF(COLUMNS($C$10:Q36)&lt;=$A37,INDEX(Table1[[PARTICULAR]:[PARTICULAR]],_xlfn.AGGREGATE(15,3,(Table1[[#This Row],[Details]:[Details]]=$B37)/(Table1[[#This Row],[Details]:[Details]]=$B37)*(ROW(Table1[[Details]:[Details]])-ROW(Table1[[#Headers],[Details]])),COLUMNS($C$10:Q36))),"")</f>
        <v/>
      </c>
      <c r="R37" t="str">
        <f>IF(COLUMNS($C$10:R36)&lt;=$A37,INDEX(Table1[[PARTICULAR]:[PARTICULAR]],_xlfn.AGGREGATE(15,3,(Table1[[#This Row],[Details]:[Details]]=$B37)/(Table1[[#This Row],[Details]:[Details]]=$B37)*(ROW(Table1[[Details]:[Details]])-ROW(Table1[[#Headers],[Details]])),COLUMNS($C$10:R36))),"")</f>
        <v/>
      </c>
      <c r="S37" t="str">
        <f>IF(COLUMNS($C$10:S36)&lt;=$A37,INDEX(Table1[[PARTICULAR]:[PARTICULAR]],_xlfn.AGGREGATE(15,3,(Table1[[#This Row],[Details]:[Details]]=$B37)/(Table1[[#This Row],[Details]:[Details]]=$B37)*(ROW(Table1[[Details]:[Details]])-ROW(Table1[[#Headers],[Details]])),COLUMNS($C$10:S36))),"")</f>
        <v/>
      </c>
      <c r="T37" t="str">
        <f>IF(COLUMNS($C$10:T36)&lt;=$A37,INDEX(Table1[[PARTICULAR]:[PARTICULAR]],_xlfn.AGGREGATE(15,3,(Table1[[#This Row],[Details]:[Details]]=$B37)/(Table1[[#This Row],[Details]:[Details]]=$B37)*(ROW(Table1[[Details]:[Details]])-ROW(Table1[[#Headers],[Details]])),COLUMNS($C$10:T36))),"")</f>
        <v/>
      </c>
      <c r="U37" t="str">
        <f>IF(COLUMNS($C$10:U36)&lt;=$A37,INDEX(Table1[[PARTICULAR]:[PARTICULAR]],_xlfn.AGGREGATE(15,3,(Table1[[#This Row],[Details]:[Details]]=$B37)/(Table1[[#This Row],[Details]:[Details]]=$B37)*(ROW(Table1[[Details]:[Details]])-ROW(Table1[[#Headers],[Details]])),COLUMNS($C$10:U36))),"")</f>
        <v/>
      </c>
      <c r="V37" t="str">
        <f>IF(COLUMNS($C$10:V36)&lt;=$A37,INDEX(Table1[[PARTICULAR]:[PARTICULAR]],_xlfn.AGGREGATE(15,3,(Table1[[#This Row],[Details]:[Details]]=$B37)/(Table1[[#This Row],[Details]:[Details]]=$B37)*(ROW(Table1[[Details]:[Details]])-ROW(Table1[[#Headers],[Details]])),COLUMNS($C$10:V36))),"")</f>
        <v/>
      </c>
      <c r="W37" t="str">
        <f>IF(COLUMNS($C$10:W36)&lt;=$A37,INDEX(Table1[[PARTICULAR]:[PARTICULAR]],_xlfn.AGGREGATE(15,3,(Table1[[#This Row],[Details]:[Details]]=$B37)/(Table1[[#This Row],[Details]:[Details]]=$B37)*(ROW(Table1[[Details]:[Details]])-ROW(Table1[[#Headers],[Details]])),COLUMNS($C$10:W36))),"")</f>
        <v/>
      </c>
      <c r="X37" t="str">
        <f>IF(COLUMNS($C$10:X36)&lt;=$A37,INDEX(Table1[[PARTICULAR]:[PARTICULAR]],_xlfn.AGGREGATE(15,3,(Table1[[#This Row],[Details]:[Details]]=$B37)/(Table1[[#This Row],[Details]:[Details]]=$B37)*(ROW(Table1[[Details]:[Details]])-ROW(Table1[[#Headers],[Details]])),COLUMNS($C$10:X36))),"")</f>
        <v/>
      </c>
      <c r="Y37" t="str">
        <f>IF(COLUMNS($C$10:Y36)&lt;=$A37,INDEX(Table1[[PARTICULAR]:[PARTICULAR]],_xlfn.AGGREGATE(15,3,(Table1[[#This Row],[Details]:[Details]]=$B37)/(Table1[[#This Row],[Details]:[Details]]=$B37)*(ROW(Table1[[Details]:[Details]])-ROW(Table1[[#Headers],[Details]])),COLUMNS($C$10:Y36))),"")</f>
        <v/>
      </c>
      <c r="Z37" t="str">
        <f>IF(COLUMNS($C$10:Z36)&lt;=$A37,INDEX(Table1[[PARTICULAR]:[PARTICULAR]],_xlfn.AGGREGATE(15,3,(Table1[[#This Row],[Details]:[Details]]=$B37)/(Table1[[#This Row],[Details]:[Details]]=$B37)*(ROW(Table1[[Details]:[Details]])-ROW(Table1[[#Headers],[Details]])),COLUMNS($C$10:Z36))),"")</f>
        <v/>
      </c>
      <c r="AA37" t="str">
        <f>IF(COLUMNS($C$10:AA36)&lt;=$A37,INDEX(Table1[[PARTICULAR]:[PARTICULAR]],_xlfn.AGGREGATE(15,3,(Table1[[#This Row],[Details]:[Details]]=$B37)/(Table1[[#This Row],[Details]:[Details]]=$B37)*(ROW(Table1[[Details]:[Details]])-ROW(Table1[[#Headers],[Details]])),COLUMNS($C$10:AA36))),"")</f>
        <v/>
      </c>
      <c r="AB37" t="str">
        <f>IF(COLUMNS($C$10:AB36)&lt;=$A37,INDEX(Table1[[PARTICULAR]:[PARTICULAR]],_xlfn.AGGREGATE(15,3,(Table1[[#This Row],[Details]:[Details]]=$B37)/(Table1[[#This Row],[Details]:[Details]]=$B37)*(ROW(Table1[[Details]:[Details]])-ROW(Table1[[#Headers],[Details]])),COLUMNS($C$10:AB36))),"")</f>
        <v/>
      </c>
      <c r="AC37" t="str">
        <f>IF(COLUMNS($C$10:AC36)&lt;=$A37,INDEX(Table1[[PARTICULAR]:[PARTICULAR]],_xlfn.AGGREGATE(15,3,(Table1[[#This Row],[Details]:[Details]]=$B37)/(Table1[[#This Row],[Details]:[Details]]=$B37)*(ROW(Table1[[Details]:[Details]])-ROW(Table1[[#Headers],[Details]])),COLUMNS($C$10:AC36))),"")</f>
        <v/>
      </c>
      <c r="AD37" t="str">
        <f>IF(COLUMNS($C$10:AD36)&lt;=$A37,INDEX(Table1[[PARTICULAR]:[PARTICULAR]],_xlfn.AGGREGATE(15,3,(Table1[[#This Row],[Details]:[Details]]=$B37)/(Table1[[#This Row],[Details]:[Details]]=$B37)*(ROW(Table1[[Details]:[Details]])-ROW(Table1[[#Headers],[Details]])),COLUMNS($C$10:AD36))),"")</f>
        <v/>
      </c>
      <c r="AE37" t="str">
        <f>IF(COLUMNS($C$10:AE36)&lt;=$A37,INDEX(Table1[[PARTICULAR]:[PARTICULAR]],_xlfn.AGGREGATE(15,3,(Table1[[#This Row],[Details]:[Details]]=$B37)/(Table1[[#This Row],[Details]:[Details]]=$B37)*(ROW(Table1[[Details]:[Details]])-ROW(Table1[[#Headers],[Details]])),COLUMNS($C$10:AE36))),"")</f>
        <v/>
      </c>
      <c r="AF37" t="str">
        <f>IF(COLUMNS($C$10:AF36)&lt;=$A37,INDEX(Table1[[PARTICULAR]:[PARTICULAR]],_xlfn.AGGREGATE(15,3,(Table1[[#This Row],[Details]:[Details]]=$B37)/(Table1[[#This Row],[Details]:[Details]]=$B37)*(ROW(Table1[[Details]:[Details]])-ROW(Table1[[#Headers],[Details]])),COLUMNS($C$10:AF36))),"")</f>
        <v/>
      </c>
      <c r="AG37" t="str">
        <f>IF(COLUMNS($C$10:AG36)&lt;=$A37,INDEX(Table1[[PARTICULAR]:[PARTICULAR]],_xlfn.AGGREGATE(15,3,(Table1[[#This Row],[Details]:[Details]]=$B37)/(Table1[[#This Row],[Details]:[Details]]=$B37)*(ROW(Table1[[Details]:[Details]])-ROW(Table1[[#Headers],[Details]])),COLUMNS($C$10:AG36))),"")</f>
        <v/>
      </c>
      <c r="AH37" t="str">
        <f>IF(COLUMNS($C$10:AH36)&lt;=$A37,INDEX(Table1[[PARTICULAR]:[PARTICULAR]],_xlfn.AGGREGATE(15,3,(Table1[[#This Row],[Details]:[Details]]=$B37)/(Table1[[#This Row],[Details]:[Details]]=$B37)*(ROW(Table1[[Details]:[Details]])-ROW(Table1[[#Headers],[Details]])),COLUMNS($C$10:AH36))),"")</f>
        <v/>
      </c>
      <c r="AI37" t="str">
        <f>IF(COLUMNS($C$10:AI36)&lt;=$A37,INDEX(Table1[[PARTICULAR]:[PARTICULAR]],_xlfn.AGGREGATE(15,3,(Table1[[#This Row],[Details]:[Details]]=$B37)/(Table1[[#This Row],[Details]:[Details]]=$B37)*(ROW(Table1[[Details]:[Details]])-ROW(Table1[[#Headers],[Details]])),COLUMNS($C$10:AI36))),"")</f>
        <v/>
      </c>
      <c r="AJ37" t="str">
        <f>IF(COLUMNS($C$10:AJ36)&lt;=$A37,INDEX(Table1[[PARTICULAR]:[PARTICULAR]],_xlfn.AGGREGATE(15,3,(Table1[[#This Row],[Details]:[Details]]=$B37)/(Table1[[#This Row],[Details]:[Details]]=$B37)*(ROW(Table1[[Details]:[Details]])-ROW(Table1[[#Headers],[Details]])),COLUMNS($C$10:AJ36))),"")</f>
        <v/>
      </c>
      <c r="AK37" t="str">
        <f>IF(COLUMNS($C$10:AK36)&lt;=$A37,INDEX(Table1[[PARTICULAR]:[PARTICULAR]],_xlfn.AGGREGATE(15,3,(Table1[[#This Row],[Details]:[Details]]=$B37)/(Table1[[#This Row],[Details]:[Details]]=$B37)*(ROW(Table1[[Details]:[Details]])-ROW(Table1[[#Headers],[Details]])),COLUMNS($C$10:AK36))),"")</f>
        <v/>
      </c>
      <c r="AL37" t="str">
        <f>IF(COLUMNS($C$10:AL36)&lt;=$A37,INDEX(Table1[[PARTICULAR]:[PARTICULAR]],_xlfn.AGGREGATE(15,3,(Table1[[#This Row],[Details]:[Details]]=$B37)/(Table1[[#This Row],[Details]:[Details]]=$B37)*(ROW(Table1[[Details]:[Details]])-ROW(Table1[[#Headers],[Details]])),COLUMNS($C$10:AL36))),"")</f>
        <v/>
      </c>
      <c r="AM37" t="str">
        <f>IF(COLUMNS($C$10:AM36)&lt;=$A37,INDEX(Table1[[PARTICULAR]:[PARTICULAR]],_xlfn.AGGREGATE(15,3,(Table1[[#This Row],[Details]:[Details]]=$B37)/(Table1[[#This Row],[Details]:[Details]]=$B37)*(ROW(Table1[[Details]:[Details]])-ROW(Table1[[#Headers],[Details]])),COLUMNS($C$10:AM36))),"")</f>
        <v/>
      </c>
      <c r="AN37" t="str">
        <f>IF(COLUMNS($C$10:AN36)&lt;=$A37,INDEX(Table1[[PARTICULAR]:[PARTICULAR]],_xlfn.AGGREGATE(15,3,(Table1[[#This Row],[Details]:[Details]]=$B37)/(Table1[[#This Row],[Details]:[Details]]=$B37)*(ROW(Table1[[Details]:[Details]])-ROW(Table1[[#Headers],[Details]])),COLUMNS($C$10:AN36))),"")</f>
        <v/>
      </c>
      <c r="AO37" t="str">
        <f>IF(COLUMNS($C$10:AO36)&lt;=$A37,INDEX(Table1[[PARTICULAR]:[PARTICULAR]],_xlfn.AGGREGATE(15,3,(Table1[[#This Row],[Details]:[Details]]=$B37)/(Table1[[#This Row],[Details]:[Details]]=$B37)*(ROW(Table1[[Details]:[Details]])-ROW(Table1[[#Headers],[Details]])),COLUMNS($C$10:AO36))),"")</f>
        <v/>
      </c>
      <c r="AP37" t="str">
        <f>IF(COLUMNS($C$10:AP36)&lt;=$A37,INDEX(Table1[[PARTICULAR]:[PARTICULAR]],_xlfn.AGGREGATE(15,3,(Table1[[#This Row],[Details]:[Details]]=$B37)/(Table1[[#This Row],[Details]:[Details]]=$B37)*(ROW(Table1[[Details]:[Details]])-ROW(Table1[[#Headers],[Details]])),COLUMNS($C$10:AP36))),"")</f>
        <v/>
      </c>
      <c r="AQ37" t="str">
        <f>IF(COLUMNS($C$10:AQ36)&lt;=$A37,INDEX(Table1[[PARTICULAR]:[PARTICULAR]],_xlfn.AGGREGATE(15,3,(Table1[[#This Row],[Details]:[Details]]=$B37)/(Table1[[#This Row],[Details]:[Details]]=$B37)*(ROW(Table1[[Details]:[Details]])-ROW(Table1[[#Headers],[Details]])),COLUMNS($C$10:AQ36))),"")</f>
        <v/>
      </c>
      <c r="AR37" t="str">
        <f>IF(COLUMNS($C$10:AR36)&lt;=$A37,INDEX(Table1[[PARTICULAR]:[PARTICULAR]],_xlfn.AGGREGATE(15,3,(Table1[[#This Row],[Details]:[Details]]=$B37)/(Table1[[#This Row],[Details]:[Details]]=$B37)*(ROW(Table1[[Details]:[Details]])-ROW(Table1[[#Headers],[Details]])),COLUMNS($C$10:AR36))),"")</f>
        <v/>
      </c>
      <c r="AS37" t="str">
        <f>IF(COLUMNS($C$10:AS36)&lt;=$A37,INDEX(Table1[[PARTICULAR]:[PARTICULAR]],_xlfn.AGGREGATE(15,3,(Table1[[#This Row],[Details]:[Details]]=$B37)/(Table1[[#This Row],[Details]:[Details]]=$B37)*(ROW(Table1[[Details]:[Details]])-ROW(Table1[[#Headers],[Details]])),COLUMNS($C$10:AS36))),"")</f>
        <v/>
      </c>
      <c r="AT37" t="str">
        <f>IF(COLUMNS($C$10:AT36)&lt;=$A37,INDEX(Table1[[PARTICULAR]:[PARTICULAR]],_xlfn.AGGREGATE(15,3,(Table1[[#This Row],[Details]:[Details]]=$B37)/(Table1[[#This Row],[Details]:[Details]]=$B37)*(ROW(Table1[[Details]:[Details]])-ROW(Table1[[#Headers],[Details]])),COLUMNS($C$10:AT36))),"")</f>
        <v/>
      </c>
      <c r="AU37" t="str">
        <f>IF(COLUMNS($C$10:AU36)&lt;=$A37,INDEX(Table1[[PARTICULAR]:[PARTICULAR]],_xlfn.AGGREGATE(15,3,(Table1[[#This Row],[Details]:[Details]]=$B37)/(Table1[[#This Row],[Details]:[Details]]=$B37)*(ROW(Table1[[Details]:[Details]])-ROW(Table1[[#Headers],[Details]])),COLUMNS($C$10:AU36))),"")</f>
        <v/>
      </c>
      <c r="AV37" t="str">
        <f>IF(COLUMNS($C$10:AV36)&lt;=$A37,INDEX(Table1[[PARTICULAR]:[PARTICULAR]],_xlfn.AGGREGATE(15,3,(Table1[[#This Row],[Details]:[Details]]=$B37)/(Table1[[#This Row],[Details]:[Details]]=$B37)*(ROW(Table1[[Details]:[Details]])-ROW(Table1[[#Headers],[Details]])),COLUMNS($C$10:AV36))),"")</f>
        <v/>
      </c>
      <c r="AW37" t="str">
        <f>IF(COLUMNS($C$10:AW36)&lt;=$A37,INDEX(Table1[[PARTICULAR]:[PARTICULAR]],_xlfn.AGGREGATE(15,3,(Table1[[#This Row],[Details]:[Details]]=$B37)/(Table1[[#This Row],[Details]:[Details]]=$B37)*(ROW(Table1[[Details]:[Details]])-ROW(Table1[[#Headers],[Details]])),COLUMNS($C$10:AW36))),"")</f>
        <v/>
      </c>
      <c r="AX37" t="str">
        <f>IF(COLUMNS($C$10:AX36)&lt;=$A37,INDEX(Table1[[PARTICULAR]:[PARTICULAR]],_xlfn.AGGREGATE(15,3,(Table1[[#This Row],[Details]:[Details]]=$B37)/(Table1[[#This Row],[Details]:[Details]]=$B37)*(ROW(Table1[[Details]:[Details]])-ROW(Table1[[#Headers],[Details]])),COLUMNS($C$10:AX36))),"")</f>
        <v/>
      </c>
      <c r="AY37" t="str">
        <f>IF(COLUMNS($C$10:AY36)&lt;=$A37,INDEX(Table1[[PARTICULAR]:[PARTICULAR]],_xlfn.AGGREGATE(15,3,(Table1[[#This Row],[Details]:[Details]]=$B37)/(Table1[[#This Row],[Details]:[Details]]=$B37)*(ROW(Table1[[Details]:[Details]])-ROW(Table1[[#Headers],[Details]])),COLUMNS($C$10:AY36))),"")</f>
        <v/>
      </c>
      <c r="AZ37" t="str">
        <f>IF(COLUMNS($C$10:AZ36)&lt;=$A37,INDEX(Table1[[PARTICULAR]:[PARTICULAR]],_xlfn.AGGREGATE(15,3,(Table1[[#This Row],[Details]:[Details]]=$B37)/(Table1[[#This Row],[Details]:[Details]]=$B37)*(ROW(Table1[[Details]:[Details]])-ROW(Table1[[#Headers],[Details]])),COLUMNS($C$10:AZ36))),"")</f>
        <v/>
      </c>
      <c r="BA37" t="str">
        <f>IF(COLUMNS($C$10:BA36)&lt;=$A37,INDEX(Table1[[PARTICULAR]:[PARTICULAR]],_xlfn.AGGREGATE(15,3,(Table1[[#This Row],[Details]:[Details]]=$B37)/(Table1[[#This Row],[Details]:[Details]]=$B37)*(ROW(Table1[[Details]:[Details]])-ROW(Table1[[#Headers],[Details]])),COLUMNS($C$10:BA36))),"")</f>
        <v/>
      </c>
      <c r="BB37" t="str">
        <f>IF(COLUMNS($C$10:BB36)&lt;=$A37,INDEX(Table1[[PARTICULAR]:[PARTICULAR]],_xlfn.AGGREGATE(15,3,(Table1[[#This Row],[Details]:[Details]]=$B37)/(Table1[[#This Row],[Details]:[Details]]=$B37)*(ROW(Table1[[Details]:[Details]])-ROW(Table1[[#Headers],[Details]])),COLUMNS($C$10:BB36))),"")</f>
        <v/>
      </c>
      <c r="BC37" t="str">
        <f>IF(COLUMNS($C$10:BC36)&lt;=$A37,INDEX(Table1[[PARTICULAR]:[PARTICULAR]],_xlfn.AGGREGATE(15,3,(Table1[[#This Row],[Details]:[Details]]=$B37)/(Table1[[#This Row],[Details]:[Details]]=$B37)*(ROW(Table1[[Details]:[Details]])-ROW(Table1[[#Headers],[Details]])),COLUMNS($C$10:BC36))),"")</f>
        <v/>
      </c>
      <c r="BD37" t="str">
        <f>IF(COLUMNS($C$10:BD36)&lt;=$A37,INDEX(Table1[[PARTICULAR]:[PARTICULAR]],_xlfn.AGGREGATE(15,3,(Table1[[#This Row],[Details]:[Details]]=$B37)/(Table1[[#This Row],[Details]:[Details]]=$B37)*(ROW(Table1[[Details]:[Details]])-ROW(Table1[[#Headers],[Details]])),COLUMNS($C$10:BD36))),"")</f>
        <v/>
      </c>
      <c r="BE37" t="str">
        <f>IF(COLUMNS($C$10:BE36)&lt;=$A37,INDEX(Table1[[PARTICULAR]:[PARTICULAR]],_xlfn.AGGREGATE(15,3,(Table1[[#This Row],[Details]:[Details]]=$B37)/(Table1[[#This Row],[Details]:[Details]]=$B37)*(ROW(Table1[[Details]:[Details]])-ROW(Table1[[#Headers],[Details]])),COLUMNS($C$10:BE36))),"")</f>
        <v/>
      </c>
      <c r="BF37" t="str">
        <f>IF(COLUMNS($C$10:BF36)&lt;=$A37,INDEX(Table1[[PARTICULAR]:[PARTICULAR]],_xlfn.AGGREGATE(15,3,(Table1[[#This Row],[Details]:[Details]]=$B37)/(Table1[[#This Row],[Details]:[Details]]=$B37)*(ROW(Table1[[Details]:[Details]])-ROW(Table1[[#Headers],[Details]])),COLUMNS($C$10:BF36))),"")</f>
        <v/>
      </c>
      <c r="BG37" t="str">
        <f>IF(COLUMNS($C$10:BG36)&lt;=$A37,INDEX(Table1[[PARTICULAR]:[PARTICULAR]],_xlfn.AGGREGATE(15,3,(Table1[[#This Row],[Details]:[Details]]=$B37)/(Table1[[#This Row],[Details]:[Details]]=$B37)*(ROW(Table1[[Details]:[Details]])-ROW(Table1[[#Headers],[Details]])),COLUMNS($C$10:BG36))),"")</f>
        <v/>
      </c>
      <c r="BH37" t="str">
        <f>IF(COLUMNS($C$10:BH36)&lt;=$A37,INDEX(Table1[[PARTICULAR]:[PARTICULAR]],_xlfn.AGGREGATE(15,3,(Table1[[#This Row],[Details]:[Details]]=$B37)/(Table1[[#This Row],[Details]:[Details]]=$B37)*(ROW(Table1[[Details]:[Details]])-ROW(Table1[[#Headers],[Details]])),COLUMNS($C$10:BH36))),"")</f>
        <v/>
      </c>
      <c r="BI37" t="str">
        <f>IF(COLUMNS($C$10:BI36)&lt;=$A37,INDEX(Table1[[PARTICULAR]:[PARTICULAR]],_xlfn.AGGREGATE(15,3,(Table1[[#This Row],[Details]:[Details]]=$B37)/(Table1[[#This Row],[Details]:[Details]]=$B37)*(ROW(Table1[[Details]:[Details]])-ROW(Table1[[#Headers],[Details]])),COLUMNS($C$10:BI36))),"")</f>
        <v/>
      </c>
      <c r="BJ37" t="str">
        <f>IF(COLUMNS($C$10:BJ36)&lt;=$A37,INDEX(Table1[[PARTICULAR]:[PARTICULAR]],_xlfn.AGGREGATE(15,3,(Table1[[#This Row],[Details]:[Details]]=$B37)/(Table1[[#This Row],[Details]:[Details]]=$B37)*(ROW(Table1[[Details]:[Details]])-ROW(Table1[[#Headers],[Details]])),COLUMNS($C$10:BJ36))),"")</f>
        <v/>
      </c>
      <c r="BK37" t="str">
        <f>IF(COLUMNS($C$10:BK36)&lt;=$A37,INDEX(Table1[[PARTICULAR]:[PARTICULAR]],_xlfn.AGGREGATE(15,3,(Table1[[#This Row],[Details]:[Details]]=$B37)/(Table1[[#This Row],[Details]:[Details]]=$B37)*(ROW(Table1[[Details]:[Details]])-ROW(Table1[[#Headers],[Details]])),COLUMNS($C$10:BK36))),"")</f>
        <v/>
      </c>
      <c r="BL37" t="str">
        <f>IF(COLUMNS($C$10:BL36)&lt;=$A37,INDEX(Table1[[PARTICULAR]:[PARTICULAR]],_xlfn.AGGREGATE(15,3,(Table1[[#This Row],[Details]:[Details]]=$B37)/(Table1[[#This Row],[Details]:[Details]]=$B37)*(ROW(Table1[[Details]:[Details]])-ROW(Table1[[#Headers],[Details]])),COLUMNS($C$10:BL36))),"")</f>
        <v/>
      </c>
      <c r="BM37" t="str">
        <f>IF(COLUMNS($C$10:BM36)&lt;=$A37,INDEX(Table1[[PARTICULAR]:[PARTICULAR]],_xlfn.AGGREGATE(15,3,(Table1[[#This Row],[Details]:[Details]]=$B37)/(Table1[[#This Row],[Details]:[Details]]=$B37)*(ROW(Table1[[Details]:[Details]])-ROW(Table1[[#Headers],[Details]])),COLUMNS($C$10:BM36))),"")</f>
        <v/>
      </c>
      <c r="BN37" t="str">
        <f>IF(COLUMNS($C$10:BN36)&lt;=$A37,INDEX(Table1[[PARTICULAR]:[PARTICULAR]],_xlfn.AGGREGATE(15,3,(Table1[[#This Row],[Details]:[Details]]=$B37)/(Table1[[#This Row],[Details]:[Details]]=$B37)*(ROW(Table1[[Details]:[Details]])-ROW(Table1[[#Headers],[Details]])),COLUMNS($C$10:BN36))),"")</f>
        <v/>
      </c>
      <c r="BO37" t="str">
        <f>IF(COLUMNS($C$10:BO36)&lt;=$A37,INDEX(Table1[[PARTICULAR]:[PARTICULAR]],_xlfn.AGGREGATE(15,3,(Table1[[#This Row],[Details]:[Details]]=$B37)/(Table1[[#This Row],[Details]:[Details]]=$B37)*(ROW(Table1[[Details]:[Details]])-ROW(Table1[[#Headers],[Details]])),COLUMNS($C$10:BO36))),"")</f>
        <v/>
      </c>
      <c r="BP37" t="str">
        <f>IF(COLUMNS($C$10:BP36)&lt;=$A37,INDEX(Table1[[PARTICULAR]:[PARTICULAR]],_xlfn.AGGREGATE(15,3,(Table1[[#This Row],[Details]:[Details]]=$B37)/(Table1[[#This Row],[Details]:[Details]]=$B37)*(ROW(Table1[[Details]:[Details]])-ROW(Table1[[#Headers],[Details]])),COLUMNS($C$10:BP36))),"")</f>
        <v/>
      </c>
      <c r="BQ37" t="str">
        <f>IF(COLUMNS($C$10:BQ36)&lt;=$A37,INDEX(Table1[[PARTICULAR]:[PARTICULAR]],_xlfn.AGGREGATE(15,3,(Table1[[#This Row],[Details]:[Details]]=$B37)/(Table1[[#This Row],[Details]:[Details]]=$B37)*(ROW(Table1[[Details]:[Details]])-ROW(Table1[[#Headers],[Details]])),COLUMNS($C$10:BQ36))),"")</f>
        <v/>
      </c>
      <c r="BR37" t="str">
        <f>IF(COLUMNS($C$10:BR36)&lt;=$A37,INDEX(Table1[[PARTICULAR]:[PARTICULAR]],_xlfn.AGGREGATE(15,3,(Table1[[#This Row],[Details]:[Details]]=$B37)/(Table1[[#This Row],[Details]:[Details]]=$B37)*(ROW(Table1[[Details]:[Details]])-ROW(Table1[[#Headers],[Details]])),COLUMNS($C$10:BR36))),"")</f>
        <v/>
      </c>
      <c r="BS37" t="str">
        <f>IF(COLUMNS($C$10:BS36)&lt;=$A37,INDEX(Table1[[PARTICULAR]:[PARTICULAR]],_xlfn.AGGREGATE(15,3,(Table1[[#This Row],[Details]:[Details]]=$B37)/(Table1[[#This Row],[Details]:[Details]]=$B37)*(ROW(Table1[[Details]:[Details]])-ROW(Table1[[#Headers],[Details]])),COLUMNS($C$10:BS36))),"")</f>
        <v/>
      </c>
      <c r="BT37" t="str">
        <f>IF(COLUMNS($C$10:BT36)&lt;=$A37,INDEX(Table1[[PARTICULAR]:[PARTICULAR]],_xlfn.AGGREGATE(15,3,(Table1[[#This Row],[Details]:[Details]]=$B37)/(Table1[[#This Row],[Details]:[Details]]=$B37)*(ROW(Table1[[Details]:[Details]])-ROW(Table1[[#Headers],[Details]])),COLUMNS($C$10:BT36))),"")</f>
        <v/>
      </c>
      <c r="BU37" t="str">
        <f>IF(COLUMNS($C$10:BU36)&lt;=$A37,INDEX(Table1[[PARTICULAR]:[PARTICULAR]],_xlfn.AGGREGATE(15,3,(Table1[[#This Row],[Details]:[Details]]=$B37)/(Table1[[#This Row],[Details]:[Details]]=$B37)*(ROW(Table1[[Details]:[Details]])-ROW(Table1[[#Headers],[Details]])),COLUMNS($C$10:BU36))),"")</f>
        <v/>
      </c>
      <c r="BV37" t="str">
        <f>IF(COLUMNS($C$10:BV36)&lt;=$A37,INDEX(Table1[[PARTICULAR]:[PARTICULAR]],_xlfn.AGGREGATE(15,3,(Table1[[#This Row],[Details]:[Details]]=$B37)/(Table1[[#This Row],[Details]:[Details]]=$B37)*(ROW(Table1[[Details]:[Details]])-ROW(Table1[[#Headers],[Details]])),COLUMNS($C$10:BV36))),"")</f>
        <v/>
      </c>
      <c r="BW37" t="str">
        <f>IF(COLUMNS($C$10:BW36)&lt;=$A37,INDEX(Table1[[PARTICULAR]:[PARTICULAR]],_xlfn.AGGREGATE(15,3,(Table1[[#This Row],[Details]:[Details]]=$B37)/(Table1[[#This Row],[Details]:[Details]]=$B37)*(ROW(Table1[[Details]:[Details]])-ROW(Table1[[#Headers],[Details]])),COLUMNS($C$10:BW36))),"")</f>
        <v/>
      </c>
      <c r="BX37" t="str">
        <f>IF(COLUMNS($C$10:BX36)&lt;=$A37,INDEX(Table1[[PARTICULAR]:[PARTICULAR]],_xlfn.AGGREGATE(15,3,(Table1[[#This Row],[Details]:[Details]]=$B37)/(Table1[[#This Row],[Details]:[Details]]=$B37)*(ROW(Table1[[Details]:[Details]])-ROW(Table1[[#Headers],[Details]])),COLUMNS($C$10:BX36))),"")</f>
        <v/>
      </c>
      <c r="BY37" t="str">
        <f>IF(COLUMNS($C$10:BY36)&lt;=$A37,INDEX(Table1[[PARTICULAR]:[PARTICULAR]],_xlfn.AGGREGATE(15,3,(Table1[[#This Row],[Details]:[Details]]=$B37)/(Table1[[#This Row],[Details]:[Details]]=$B37)*(ROW(Table1[[Details]:[Details]])-ROW(Table1[[#Headers],[Details]])),COLUMNS($C$10:BY36))),"")</f>
        <v/>
      </c>
      <c r="BZ37" t="str">
        <f>IF(COLUMNS($C$10:BZ36)&lt;=$A37,INDEX(Table1[[PARTICULAR]:[PARTICULAR]],_xlfn.AGGREGATE(15,3,(Table1[[#This Row],[Details]:[Details]]=$B37)/(Table1[[#This Row],[Details]:[Details]]=$B37)*(ROW(Table1[[Details]:[Details]])-ROW(Table1[[#Headers],[Details]])),COLUMNS($C$10:BZ36))),"")</f>
        <v/>
      </c>
      <c r="CA37" t="str">
        <f>IF(COLUMNS($C$10:CA36)&lt;=$A37,INDEX(Table1[[PARTICULAR]:[PARTICULAR]],_xlfn.AGGREGATE(15,3,(Table1[[#This Row],[Details]:[Details]]=$B37)/(Table1[[#This Row],[Details]:[Details]]=$B37)*(ROW(Table1[[Details]:[Details]])-ROW(Table1[[#Headers],[Details]])),COLUMNS($C$10:CA36))),"")</f>
        <v/>
      </c>
      <c r="CB37" t="str">
        <f>IF(COLUMNS($C$10:CB36)&lt;=$A37,INDEX(Table1[[PARTICULAR]:[PARTICULAR]],_xlfn.AGGREGATE(15,3,(Table1[[#This Row],[Details]:[Details]]=$B37)/(Table1[[#This Row],[Details]:[Details]]=$B37)*(ROW(Table1[[Details]:[Details]])-ROW(Table1[[#Headers],[Details]])),COLUMNS($C$10:CB36))),"")</f>
        <v/>
      </c>
    </row>
    <row r="38" spans="2:2">
      <c r="B38" s="97" t="str">
        <f>IFERROR(INDEX(Table1[Details],MATCH(0,INDEX(COUNTIF($B$10:B37,Table1[Details]),),0)),"")</f>
        <v/>
      </c>
    </row>
    <row r="39" spans="2:2">
      <c r="B39" s="97" t="str">
        <f>IFERROR(INDEX(Table1[Details],MATCH(0,INDEX(COUNTIF($B$10:B38,Table1[Details]),),0)),"")</f>
        <v/>
      </c>
    </row>
    <row r="40" spans="2:2">
      <c r="B40" s="97" t="str">
        <f>IFERROR(INDEX(Table1[Details],MATCH(0,INDEX(COUNTIF($B$10:B39,Table1[Details]),),0)),"")</f>
        <v/>
      </c>
    </row>
    <row r="41" spans="2:2">
      <c r="B41" s="97" t="str">
        <f>IFERROR(INDEX(Table1[Details],MATCH(0,INDEX(COUNTIF($B$10:B40,Table1[Details]),),0)),"")</f>
        <v/>
      </c>
    </row>
    <row r="42" spans="2:2">
      <c r="B42" s="97" t="str">
        <f>IFERROR(INDEX(Table1[Details],MATCH(0,INDEX(COUNTIF($B$10:B41,Table1[Details]),),0)),"")</f>
        <v/>
      </c>
    </row>
    <row r="43" spans="2:2">
      <c r="B43" s="97" t="str">
        <f>IFERROR(INDEX(Table1[Details],MATCH(0,INDEX(COUNTIF($B$10:B42,Table1[Details]),),0)),"")</f>
        <v/>
      </c>
    </row>
    <row r="44" spans="2:2">
      <c r="B44" s="97" t="str">
        <f>IFERROR(INDEX(Table1[Details],MATCH(0,INDEX(COUNTIF($B$10:B43,Table1[Details]),),0)),"")</f>
        <v/>
      </c>
    </row>
    <row r="45" spans="2:2">
      <c r="B45" s="97" t="str">
        <f>IFERROR(INDEX(Table1[Details],MATCH(0,INDEX(COUNTIF($B$10:B44,Table1[Details]),),0)),"")</f>
        <v/>
      </c>
    </row>
    <row r="46" spans="2:2">
      <c r="B46" s="97" t="str">
        <f>IFERROR(INDEX(Table1[Details],MATCH(0,INDEX(COUNTIF($B$10:B45,Table1[Details]),),0)),"")</f>
        <v/>
      </c>
    </row>
    <row r="47" spans="2:2">
      <c r="B47" s="97" t="str">
        <f>IFERROR(INDEX(Table1[Details],MATCH(0,INDEX(COUNTIF($B$10:B46,Table1[Details]),),0)),"")</f>
        <v/>
      </c>
    </row>
    <row r="48" spans="2:2">
      <c r="B48" s="97" t="str">
        <f>IFERROR(INDEX(Table1[Details],MATCH(0,INDEX(COUNTIF($B$10:B47,Table1[Details]),),0)),"")</f>
        <v/>
      </c>
    </row>
    <row r="49" spans="2:2">
      <c r="B49" s="97" t="str">
        <f>IFERROR(INDEX(Table1[Details],MATCH(0,INDEX(COUNTIF($B$10:B48,Table1[Details]),),0)),"")</f>
        <v/>
      </c>
    </row>
    <row r="50" spans="2:2">
      <c r="B50" s="97" t="str">
        <f>IFERROR(INDEX(Table1[Details],MATCH(0,INDEX(COUNTIF($B$10:B49,Table1[Details]),),0)),"")</f>
        <v/>
      </c>
    </row>
    <row r="51" spans="2:2">
      <c r="B51" s="97" t="str">
        <f>IFERROR(INDEX(Table1[Details],MATCH(0,INDEX(COUNTIF($B$10:B50,Table1[Details]),),0)),"")</f>
        <v/>
      </c>
    </row>
    <row r="52" spans="2:2">
      <c r="B52" s="97" t="str">
        <f>IFERROR(INDEX(Table1[Details],MATCH(0,INDEX(COUNTIF($B$10:B51,Table1[Details]),),0)),"")</f>
        <v/>
      </c>
    </row>
    <row r="53" spans="2:2">
      <c r="B53" s="97" t="str">
        <f>IFERROR(INDEX(Table1[Details],MATCH(0,INDEX(COUNTIF($B$10:B52,Table1[Details]),),0)),"")</f>
        <v/>
      </c>
    </row>
    <row r="54" spans="2:2">
      <c r="B54" s="97" t="str">
        <f>IFERROR(INDEX(Table1[Details],MATCH(0,INDEX(COUNTIF($B$10:B53,Table1[Details]),),0)),"")</f>
        <v/>
      </c>
    </row>
    <row r="55" spans="2:2">
      <c r="B55" s="97" t="str">
        <f>IFERROR(INDEX(Table1[Details],MATCH(0,INDEX(COUNTIF($B$10:B54,Table1[Details]),),0)),"")</f>
        <v/>
      </c>
    </row>
    <row r="56" spans="2:2">
      <c r="B56" s="97" t="str">
        <f>IFERROR(INDEX(Table1[Details],MATCH(0,INDEX(COUNTIF($B$10:B55,Table1[Details]),),0)),"")</f>
        <v/>
      </c>
    </row>
    <row r="57" spans="2:2">
      <c r="B57" s="97" t="str">
        <f>IFERROR(INDEX(Table1[Details],MATCH(0,INDEX(COUNTIF($B$10:B56,Table1[Details]),),0)),"")</f>
        <v/>
      </c>
    </row>
    <row r="58" spans="2:2">
      <c r="B58" s="97" t="str">
        <f>IFERROR(INDEX(Table1[Details],MATCH(0,INDEX(COUNTIF($B$10:B57,Table1[Details]),),0)),"")</f>
        <v/>
      </c>
    </row>
    <row r="59" spans="2:2">
      <c r="B59" s="97" t="str">
        <f>IFERROR(INDEX(Table1[Details],MATCH(0,INDEX(COUNTIF($B$10:B58,Table1[Details]),),0)),"")</f>
        <v/>
      </c>
    </row>
    <row r="60" spans="2:2">
      <c r="B60" s="97" t="str">
        <f>IFERROR(INDEX(Table1[Details],MATCH(0,INDEX(COUNTIF($B$10:B59,Table1[Details]),),0)),"")</f>
        <v/>
      </c>
    </row>
    <row r="61" spans="2:2">
      <c r="B61" s="97" t="str">
        <f>IFERROR(INDEX(Table1[Details],MATCH(0,INDEX(COUNTIF($B$10:B60,Table1[Details]),),0)),"")</f>
        <v/>
      </c>
    </row>
    <row r="62" spans="2:2">
      <c r="B62" s="97" t="str">
        <f>IFERROR(INDEX(Table1[Details],MATCH(0,INDEX(COUNTIF($B$10:B61,Table1[Details]),),0)),"")</f>
        <v/>
      </c>
    </row>
    <row r="63" spans="2:2">
      <c r="B63" s="97" t="str">
        <f>IFERROR(INDEX(Table1[Details],MATCH(0,INDEX(COUNTIF($B$10:B62,Table1[Details]),),0)),"")</f>
        <v/>
      </c>
    </row>
    <row r="64" spans="2:2">
      <c r="B64" s="97" t="str">
        <f>IFERROR(INDEX(Table1[Details],MATCH(0,INDEX(COUNTIF($B$10:B63,Table1[Details]),),0)),"")</f>
        <v/>
      </c>
    </row>
    <row r="65" spans="2:2">
      <c r="B65" s="97" t="str">
        <f>IFERROR(INDEX(Table1[Details],MATCH(0,INDEX(COUNTIF($B$10:B64,Table1[Details]),),0)),"")</f>
        <v/>
      </c>
    </row>
    <row r="66" spans="2:2">
      <c r="B66" s="97" t="str">
        <f>IFERROR(INDEX(Table1[Details],MATCH(0,INDEX(COUNTIF($B$10:B65,Table1[Details]),),0)),"")</f>
        <v/>
      </c>
    </row>
    <row r="67" spans="2:2">
      <c r="B67" s="97" t="str">
        <f>IFERROR(INDEX(Table1[Details],MATCH(0,INDEX(COUNTIF($B$10:B66,Table1[Details]),),0)),"")</f>
        <v/>
      </c>
    </row>
    <row r="68" spans="2:2">
      <c r="B68" s="97" t="str">
        <f>IFERROR(INDEX(Table1[Details],MATCH(0,INDEX(COUNTIF($B$10:B67,Table1[Details]),),0)),"")</f>
        <v/>
      </c>
    </row>
    <row r="69" spans="2:2">
      <c r="B69" s="97" t="str">
        <f>IFERROR(INDEX(Table1[Details],MATCH(0,INDEX(COUNTIF($B$10:B68,Table1[Details]),),0)),"")</f>
        <v/>
      </c>
    </row>
    <row r="70" spans="2:2">
      <c r="B70" s="97" t="str">
        <f>IFERROR(INDEX(Table1[Details],MATCH(0,INDEX(COUNTIF($B$10:B69,Table1[Details]),),0)),"")</f>
        <v/>
      </c>
    </row>
    <row r="71" spans="2:2">
      <c r="B71" s="97" t="str">
        <f>IFERROR(INDEX(Table1[Details],MATCH(0,INDEX(COUNTIF($B$10:B70,Table1[Details]),),0)),"")</f>
        <v/>
      </c>
    </row>
    <row r="72" spans="2:2">
      <c r="B72" s="97" t="str">
        <f>IFERROR(INDEX(Table1[Details],MATCH(0,INDEX(COUNTIF($B$10:B71,Table1[Details]),),0)),"")</f>
        <v/>
      </c>
    </row>
    <row r="73" spans="2:2">
      <c r="B73" s="97" t="str">
        <f>IFERROR(INDEX(Table1[Details],MATCH(0,INDEX(COUNTIF($B$10:B72,Table1[Details]),),0)),"")</f>
        <v/>
      </c>
    </row>
    <row r="74" spans="2:2">
      <c r="B74" s="97" t="str">
        <f>IFERROR(INDEX(Table1[Details],MATCH(0,INDEX(COUNTIF($B$10:B73,Table1[Details]),),0)),"")</f>
        <v/>
      </c>
    </row>
    <row r="75" spans="2:2">
      <c r="B75" s="97" t="str">
        <f>IFERROR(INDEX(Table1[Details],MATCH(0,INDEX(COUNTIF($B$10:B74,Table1[Details]),),0)),"")</f>
        <v/>
      </c>
    </row>
    <row r="76" spans="2:2">
      <c r="B76" s="97" t="str">
        <f>IFERROR(INDEX(Table1[Details],MATCH(0,INDEX(COUNTIF($B$10:B75,Table1[Details]),),0)),"")</f>
        <v/>
      </c>
    </row>
    <row r="77" spans="2:2">
      <c r="B77" s="97" t="str">
        <f>IFERROR(INDEX(Table1[Details],MATCH(0,INDEX(COUNTIF($B$10:B76,Table1[Details]),),0)),"")</f>
        <v/>
      </c>
    </row>
    <row r="78" spans="2:2">
      <c r="B78" s="97" t="str">
        <f>IFERROR(INDEX(Table1[Details],MATCH(0,INDEX(COUNTIF($B$10:B77,Table1[Details]),),0)),"")</f>
        <v/>
      </c>
    </row>
    <row r="79" spans="2:2">
      <c r="B79" s="97" t="str">
        <f>IFERROR(INDEX(Table1[Details],MATCH(0,INDEX(COUNTIF($B$10:B78,Table1[Details]),),0)),"")</f>
        <v/>
      </c>
    </row>
    <row r="80" spans="2:2">
      <c r="B80" s="97" t="str">
        <f>IFERROR(INDEX(Table1[Details],MATCH(0,INDEX(COUNTIF($B$10:B79,Table1[Details]),),0)),"")</f>
        <v/>
      </c>
    </row>
    <row r="81" spans="2:2">
      <c r="B81" s="97" t="str">
        <f>IFERROR(INDEX(Table1[Details],MATCH(0,INDEX(COUNTIF($B$10:B80,Table1[Details]),),0)),"")</f>
        <v/>
      </c>
    </row>
    <row r="82" spans="2:2">
      <c r="B82" s="97" t="str">
        <f>IFERROR(INDEX(Table1[Details],MATCH(0,INDEX(COUNTIF($B$10:B81,Table1[Details]),),0)),"")</f>
        <v/>
      </c>
    </row>
    <row r="83" spans="2:2">
      <c r="B83" s="97" t="str">
        <f>IFERROR(INDEX(Table1[Details],MATCH(0,INDEX(COUNTIF($B$10:B82,Table1[Details]),),0)),"")</f>
        <v/>
      </c>
    </row>
    <row r="84" spans="2:2">
      <c r="B84" s="97" t="str">
        <f>IFERROR(INDEX(Table1[Details],MATCH(0,INDEX(COUNTIF($B$10:B83,Table1[Details]),),0)),"")</f>
        <v/>
      </c>
    </row>
    <row r="85" spans="2:2">
      <c r="B85" s="97" t="str">
        <f>IFERROR(INDEX(Table1[Details],MATCH(0,INDEX(COUNTIF($B$10:B84,Table1[Details]),),0)),"")</f>
        <v/>
      </c>
    </row>
    <row r="86" spans="2:2">
      <c r="B86" s="97" t="str">
        <f>IFERROR(INDEX(Table1[Details],MATCH(0,INDEX(COUNTIF($B$10:B85,Table1[Details]),),0)),"")</f>
        <v/>
      </c>
    </row>
    <row r="87" spans="2:2">
      <c r="B87" s="97" t="str">
        <f>IFERROR(INDEX(Table1[Details],MATCH(0,INDEX(COUNTIF($B$10:B86,Table1[Details]),),0)),"")</f>
        <v/>
      </c>
    </row>
    <row r="88" spans="2:2">
      <c r="B88" s="97" t="str">
        <f>IFERROR(INDEX(Table1[Details],MATCH(0,INDEX(COUNTIF($B$10:B87,Table1[Details]),),0)),"")</f>
        <v/>
      </c>
    </row>
    <row r="89" spans="2:2">
      <c r="B89" s="97" t="str">
        <f>IFERROR(INDEX(Table1[Details],MATCH(0,INDEX(COUNTIF($B$10:B88,Table1[Details]),),0)),"")</f>
        <v/>
      </c>
    </row>
    <row r="90" spans="2:2">
      <c r="B90" s="97" t="str">
        <f>IFERROR(INDEX(Table1[Details],MATCH(0,INDEX(COUNTIF($B$10:B89,Table1[Details]),),0)),"")</f>
        <v/>
      </c>
    </row>
    <row r="91" spans="2:2">
      <c r="B91" s="97" t="str">
        <f>IFERROR(INDEX(Table1[Details],MATCH(0,INDEX(COUNTIF($B$10:B90,Table1[Details]),),0)),"")</f>
        <v/>
      </c>
    </row>
    <row r="92" spans="2:2">
      <c r="B92" s="97" t="str">
        <f>IFERROR(INDEX(Table1[Details],MATCH(0,INDEX(COUNTIF($B$10:B91,Table1[Details]),),0)),"")</f>
        <v/>
      </c>
    </row>
    <row r="93" spans="2:2">
      <c r="B93" s="97" t="str">
        <f>IFERROR(INDEX(Table1[Details],MATCH(0,INDEX(COUNTIF($B$10:B92,Table1[Details]),),0)),"")</f>
        <v/>
      </c>
    </row>
    <row r="94" spans="2:2">
      <c r="B94" s="97" t="str">
        <f>IFERROR(INDEX(Table1[Details],MATCH(0,INDEX(COUNTIF($B$10:B93,Table1[Details]),),0)),"")</f>
        <v/>
      </c>
    </row>
    <row r="95" spans="2:2">
      <c r="B95" s="97" t="str">
        <f>IFERROR(INDEX(Table1[Details],MATCH(0,INDEX(COUNTIF($B$10:B94,Table1[Details]),),0)),"")</f>
        <v/>
      </c>
    </row>
    <row r="96" spans="2:2">
      <c r="B96" s="97" t="str">
        <f>IFERROR(INDEX(Table1[Details],MATCH(0,INDEX(COUNTIF($B$10:B95,Table1[Details]),),0)),"")</f>
        <v/>
      </c>
    </row>
    <row r="97" spans="2:2">
      <c r="B97" s="97" t="str">
        <f>IFERROR(INDEX(Table1[Details],MATCH(0,INDEX(COUNTIF($B$10:B96,Table1[Details]),),0)),"")</f>
        <v/>
      </c>
    </row>
    <row r="98" spans="2:2">
      <c r="B98" s="97" t="str">
        <f>IFERROR(INDEX(Table1[Details],MATCH(0,INDEX(COUNTIF($B$10:B97,Table1[Details]),),0)),"")</f>
        <v/>
      </c>
    </row>
    <row r="99" spans="2:2">
      <c r="B99" s="97" t="str">
        <f>IFERROR(INDEX(Table1[Details],MATCH(0,INDEX(COUNTIF($B$10:B98,Table1[Details]),),0)),"")</f>
        <v/>
      </c>
    </row>
    <row r="100" spans="2:2">
      <c r="B100" s="97" t="str">
        <f>IFERROR(INDEX(Table1[Details],MATCH(0,INDEX(COUNTIF($B$10:B99,Table1[Details]),),0)),"")</f>
        <v/>
      </c>
    </row>
    <row r="101" spans="2:2">
      <c r="B101" s="97" t="str">
        <f>IFERROR(INDEX(Table1[Details],MATCH(0,INDEX(COUNTIF($B$10:B100,Table1[Details]),),0)),"")</f>
        <v/>
      </c>
    </row>
    <row r="102" spans="2:2">
      <c r="B102" s="97" t="str">
        <f>IFERROR(INDEX(Table1[Details],MATCH(0,INDEX(COUNTIF($B$10:B101,Table1[Details]),),0)),"")</f>
        <v/>
      </c>
    </row>
  </sheetData>
  <sheetProtection algorithmName="SHA-512" hashValue="7rpL+SlTfgIZgOtimmF1vOfNtwu4ntDf0RHSAC0CAyxH8EKddoAMFH3IIprrCX0/OSRDrIK3zpk4rjG9YmioFA==" saltValue="RKRsivGaM3qOgQTcVvY7kg==" spinCount="100000" sheet="1" objects="1" scenarios="1"/>
  <dataValidations count="2">
    <dataValidation type="list" allowBlank="1" showInputMessage="1" showErrorMessage="1" sqref="B4">
      <formula1>$B$11:$B$37</formula1>
    </dataValidation>
    <dataValidation type="list" allowBlank="1" showInputMessage="1" sqref="C4">
      <formula1>OFFSET($C$10,MATCH($B$4,$B$11:$B$37,0),,,COUNTIF(OFFSET($C$10,MATCH($B$4,$B$11:$B$37,0),,1,40),"?*"))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zoomScale="85" zoomScaleNormal="85" workbookViewId="0">
      <pane ySplit="1" topLeftCell="A2" activePane="bottomLeft" state="frozen"/>
      <selection/>
      <selection pane="bottomLeft" activeCell="F168" sqref="F168"/>
    </sheetView>
  </sheetViews>
  <sheetFormatPr defaultColWidth="9" defaultRowHeight="16.8"/>
  <cols>
    <col min="1" max="1" width="5.90625" style="89" customWidth="1"/>
    <col min="2" max="2" width="9" style="90" customWidth="1"/>
    <col min="3" max="3" width="8.3671875" style="90" customWidth="1"/>
    <col min="4" max="4" width="9" style="90" customWidth="1"/>
    <col min="5" max="5" width="11" style="90" customWidth="1"/>
    <col min="6" max="6" width="4.90625" style="90" customWidth="1"/>
    <col min="7" max="7" width="9.09375" style="90" customWidth="1"/>
    <col min="8" max="8" width="11.6328125" style="90" customWidth="1"/>
    <col min="9" max="9" width="7.90625" style="89" customWidth="1"/>
    <col min="10" max="10" width="12.09375" style="89" customWidth="1"/>
    <col min="11" max="11" width="10.09375" style="90" customWidth="1"/>
    <col min="12" max="12" width="9.6328125" style="90" customWidth="1"/>
    <col min="13" max="13" width="12.6328125" style="90" customWidth="1"/>
    <col min="14" max="14" width="8" style="90" customWidth="1"/>
    <col min="15" max="15" width="12.09375" style="90" customWidth="1"/>
    <col min="16" max="16" width="9.546875" style="90" customWidth="1"/>
    <col min="17" max="17" width="10.09375" style="90" customWidth="1"/>
    <col min="18" max="18" width="8.09375" style="90" customWidth="1"/>
    <col min="19" max="19" width="8.453125" style="90" customWidth="1"/>
    <col min="20" max="20" width="9.09375" style="90" customWidth="1"/>
    <col min="21" max="21" width="7.453125" style="90" customWidth="1"/>
    <col min="22" max="22" width="11" style="90" customWidth="1"/>
    <col min="23" max="23" width="17" style="90" customWidth="1"/>
    <col min="24" max="24" width="21.453125" style="90" customWidth="1"/>
    <col min="25" max="25" width="15" style="90" customWidth="1"/>
    <col min="26" max="26" width="14.09375" style="90" customWidth="1"/>
    <col min="27" max="27" width="20.90625" style="90" customWidth="1"/>
    <col min="28" max="256" width="9.09375" style="90"/>
    <col min="257" max="257" width="5.90625" style="90" customWidth="1"/>
    <col min="258" max="258" width="9" style="90" customWidth="1"/>
    <col min="259" max="259" width="6.90625" style="90" customWidth="1"/>
    <col min="260" max="260" width="9" style="90" customWidth="1"/>
    <col min="261" max="261" width="11" style="90" customWidth="1"/>
    <col min="262" max="262" width="4.90625" style="90" customWidth="1"/>
    <col min="263" max="263" width="9.09375" style="90" customWidth="1"/>
    <col min="264" max="264" width="11.6328125" style="90" customWidth="1"/>
    <col min="265" max="265" width="7.90625" style="90" customWidth="1"/>
    <col min="266" max="266" width="12.09375" style="90" customWidth="1"/>
    <col min="267" max="267" width="10.09375" style="90" customWidth="1"/>
    <col min="268" max="268" width="9.6328125" style="90" customWidth="1"/>
    <col min="269" max="269" width="12.6328125" style="90" customWidth="1"/>
    <col min="270" max="270" width="8" style="90" customWidth="1"/>
    <col min="271" max="271" width="12.09375" style="90" customWidth="1"/>
    <col min="272" max="272" width="9.546875" style="90" customWidth="1"/>
    <col min="273" max="273" width="10.09375" style="90" customWidth="1"/>
    <col min="274" max="274" width="8.09375" style="90" customWidth="1"/>
    <col min="275" max="275" width="8.453125" style="90" customWidth="1"/>
    <col min="276" max="276" width="9.09375" style="90" customWidth="1"/>
    <col min="277" max="277" width="6.90625" style="90" customWidth="1"/>
    <col min="278" max="278" width="11" style="90" customWidth="1"/>
    <col min="279" max="279" width="17" style="90" customWidth="1"/>
    <col min="280" max="280" width="21.453125" style="90" customWidth="1"/>
    <col min="281" max="281" width="15" style="90" customWidth="1"/>
    <col min="282" max="282" width="14.09375" style="90" customWidth="1"/>
    <col min="283" max="283" width="20.90625" style="90" customWidth="1"/>
    <col min="284" max="512" width="9.09375" style="90"/>
    <col min="513" max="513" width="5.90625" style="90" customWidth="1"/>
    <col min="514" max="514" width="9" style="90" customWidth="1"/>
    <col min="515" max="515" width="6.90625" style="90" customWidth="1"/>
    <col min="516" max="516" width="9" style="90" customWidth="1"/>
    <col min="517" max="517" width="11" style="90" customWidth="1"/>
    <col min="518" max="518" width="4.90625" style="90" customWidth="1"/>
    <col min="519" max="519" width="9.09375" style="90" customWidth="1"/>
    <col min="520" max="520" width="11.6328125" style="90" customWidth="1"/>
    <col min="521" max="521" width="7.90625" style="90" customWidth="1"/>
    <col min="522" max="522" width="12.09375" style="90" customWidth="1"/>
    <col min="523" max="523" width="10.09375" style="90" customWidth="1"/>
    <col min="524" max="524" width="9.6328125" style="90" customWidth="1"/>
    <col min="525" max="525" width="12.6328125" style="90" customWidth="1"/>
    <col min="526" max="526" width="8" style="90" customWidth="1"/>
    <col min="527" max="527" width="12.09375" style="90" customWidth="1"/>
    <col min="528" max="528" width="9.546875" style="90" customWidth="1"/>
    <col min="529" max="529" width="10.09375" style="90" customWidth="1"/>
    <col min="530" max="530" width="8.09375" style="90" customWidth="1"/>
    <col min="531" max="531" width="8.453125" style="90" customWidth="1"/>
    <col min="532" max="532" width="9.09375" style="90" customWidth="1"/>
    <col min="533" max="533" width="6.90625" style="90" customWidth="1"/>
    <col min="534" max="534" width="11" style="90" customWidth="1"/>
    <col min="535" max="535" width="17" style="90" customWidth="1"/>
    <col min="536" max="536" width="21.453125" style="90" customWidth="1"/>
    <col min="537" max="537" width="15" style="90" customWidth="1"/>
    <col min="538" max="538" width="14.09375" style="90" customWidth="1"/>
    <col min="539" max="539" width="20.90625" style="90" customWidth="1"/>
    <col min="540" max="768" width="9.09375" style="90"/>
    <col min="769" max="769" width="5.90625" style="90" customWidth="1"/>
    <col min="770" max="770" width="9" style="90" customWidth="1"/>
    <col min="771" max="771" width="6.90625" style="90" customWidth="1"/>
    <col min="772" max="772" width="9" style="90" customWidth="1"/>
    <col min="773" max="773" width="11" style="90" customWidth="1"/>
    <col min="774" max="774" width="4.90625" style="90" customWidth="1"/>
    <col min="775" max="775" width="9.09375" style="90" customWidth="1"/>
    <col min="776" max="776" width="11.6328125" style="90" customWidth="1"/>
    <col min="777" max="777" width="7.90625" style="90" customWidth="1"/>
    <col min="778" max="778" width="12.09375" style="90" customWidth="1"/>
    <col min="779" max="779" width="10.09375" style="90" customWidth="1"/>
    <col min="780" max="780" width="9.6328125" style="90" customWidth="1"/>
    <col min="781" max="781" width="12.6328125" style="90" customWidth="1"/>
    <col min="782" max="782" width="8" style="90" customWidth="1"/>
    <col min="783" max="783" width="12.09375" style="90" customWidth="1"/>
    <col min="784" max="784" width="9.546875" style="90" customWidth="1"/>
    <col min="785" max="785" width="10.09375" style="90" customWidth="1"/>
    <col min="786" max="786" width="8.09375" style="90" customWidth="1"/>
    <col min="787" max="787" width="8.453125" style="90" customWidth="1"/>
    <col min="788" max="788" width="9.09375" style="90" customWidth="1"/>
    <col min="789" max="789" width="6.90625" style="90" customWidth="1"/>
    <col min="790" max="790" width="11" style="90" customWidth="1"/>
    <col min="791" max="791" width="17" style="90" customWidth="1"/>
    <col min="792" max="792" width="21.453125" style="90" customWidth="1"/>
    <col min="793" max="793" width="15" style="90" customWidth="1"/>
    <col min="794" max="794" width="14.09375" style="90" customWidth="1"/>
    <col min="795" max="795" width="20.90625" style="90" customWidth="1"/>
    <col min="796" max="1024" width="9.09375" style="90"/>
    <col min="1025" max="1025" width="5.90625" style="90" customWidth="1"/>
    <col min="1026" max="1026" width="9" style="90" customWidth="1"/>
    <col min="1027" max="1027" width="6.90625" style="90" customWidth="1"/>
    <col min="1028" max="1028" width="9" style="90" customWidth="1"/>
    <col min="1029" max="1029" width="11" style="90" customWidth="1"/>
    <col min="1030" max="1030" width="4.90625" style="90" customWidth="1"/>
    <col min="1031" max="1031" width="9.09375" style="90" customWidth="1"/>
    <col min="1032" max="1032" width="11.6328125" style="90" customWidth="1"/>
    <col min="1033" max="1033" width="7.90625" style="90" customWidth="1"/>
    <col min="1034" max="1034" width="12.09375" style="90" customWidth="1"/>
    <col min="1035" max="1035" width="10.09375" style="90" customWidth="1"/>
    <col min="1036" max="1036" width="9.6328125" style="90" customWidth="1"/>
    <col min="1037" max="1037" width="12.6328125" style="90" customWidth="1"/>
    <col min="1038" max="1038" width="8" style="90" customWidth="1"/>
    <col min="1039" max="1039" width="12.09375" style="90" customWidth="1"/>
    <col min="1040" max="1040" width="9.546875" style="90" customWidth="1"/>
    <col min="1041" max="1041" width="10.09375" style="90" customWidth="1"/>
    <col min="1042" max="1042" width="8.09375" style="90" customWidth="1"/>
    <col min="1043" max="1043" width="8.453125" style="90" customWidth="1"/>
    <col min="1044" max="1044" width="9.09375" style="90" customWidth="1"/>
    <col min="1045" max="1045" width="6.90625" style="90" customWidth="1"/>
    <col min="1046" max="1046" width="11" style="90" customWidth="1"/>
    <col min="1047" max="1047" width="17" style="90" customWidth="1"/>
    <col min="1048" max="1048" width="21.453125" style="90" customWidth="1"/>
    <col min="1049" max="1049" width="15" style="90" customWidth="1"/>
    <col min="1050" max="1050" width="14.09375" style="90" customWidth="1"/>
    <col min="1051" max="1051" width="20.90625" style="90" customWidth="1"/>
    <col min="1052" max="1280" width="9.09375" style="90"/>
    <col min="1281" max="1281" width="5.90625" style="90" customWidth="1"/>
    <col min="1282" max="1282" width="9" style="90" customWidth="1"/>
    <col min="1283" max="1283" width="6.90625" style="90" customWidth="1"/>
    <col min="1284" max="1284" width="9" style="90" customWidth="1"/>
    <col min="1285" max="1285" width="11" style="90" customWidth="1"/>
    <col min="1286" max="1286" width="4.90625" style="90" customWidth="1"/>
    <col min="1287" max="1287" width="9.09375" style="90" customWidth="1"/>
    <col min="1288" max="1288" width="11.6328125" style="90" customWidth="1"/>
    <col min="1289" max="1289" width="7.90625" style="90" customWidth="1"/>
    <col min="1290" max="1290" width="12.09375" style="90" customWidth="1"/>
    <col min="1291" max="1291" width="10.09375" style="90" customWidth="1"/>
    <col min="1292" max="1292" width="9.6328125" style="90" customWidth="1"/>
    <col min="1293" max="1293" width="12.6328125" style="90" customWidth="1"/>
    <col min="1294" max="1294" width="8" style="90" customWidth="1"/>
    <col min="1295" max="1295" width="12.09375" style="90" customWidth="1"/>
    <col min="1296" max="1296" width="9.546875" style="90" customWidth="1"/>
    <col min="1297" max="1297" width="10.09375" style="90" customWidth="1"/>
    <col min="1298" max="1298" width="8.09375" style="90" customWidth="1"/>
    <col min="1299" max="1299" width="8.453125" style="90" customWidth="1"/>
    <col min="1300" max="1300" width="9.09375" style="90" customWidth="1"/>
    <col min="1301" max="1301" width="6.90625" style="90" customWidth="1"/>
    <col min="1302" max="1302" width="11" style="90" customWidth="1"/>
    <col min="1303" max="1303" width="17" style="90" customWidth="1"/>
    <col min="1304" max="1304" width="21.453125" style="90" customWidth="1"/>
    <col min="1305" max="1305" width="15" style="90" customWidth="1"/>
    <col min="1306" max="1306" width="14.09375" style="90" customWidth="1"/>
    <col min="1307" max="1307" width="20.90625" style="90" customWidth="1"/>
    <col min="1308" max="1536" width="9.09375" style="90"/>
    <col min="1537" max="1537" width="5.90625" style="90" customWidth="1"/>
    <col min="1538" max="1538" width="9" style="90" customWidth="1"/>
    <col min="1539" max="1539" width="6.90625" style="90" customWidth="1"/>
    <col min="1540" max="1540" width="9" style="90" customWidth="1"/>
    <col min="1541" max="1541" width="11" style="90" customWidth="1"/>
    <col min="1542" max="1542" width="4.90625" style="90" customWidth="1"/>
    <col min="1543" max="1543" width="9.09375" style="90" customWidth="1"/>
    <col min="1544" max="1544" width="11.6328125" style="90" customWidth="1"/>
    <col min="1545" max="1545" width="7.90625" style="90" customWidth="1"/>
    <col min="1546" max="1546" width="12.09375" style="90" customWidth="1"/>
    <col min="1547" max="1547" width="10.09375" style="90" customWidth="1"/>
    <col min="1548" max="1548" width="9.6328125" style="90" customWidth="1"/>
    <col min="1549" max="1549" width="12.6328125" style="90" customWidth="1"/>
    <col min="1550" max="1550" width="8" style="90" customWidth="1"/>
    <col min="1551" max="1551" width="12.09375" style="90" customWidth="1"/>
    <col min="1552" max="1552" width="9.546875" style="90" customWidth="1"/>
    <col min="1553" max="1553" width="10.09375" style="90" customWidth="1"/>
    <col min="1554" max="1554" width="8.09375" style="90" customWidth="1"/>
    <col min="1555" max="1555" width="8.453125" style="90" customWidth="1"/>
    <col min="1556" max="1556" width="9.09375" style="90" customWidth="1"/>
    <col min="1557" max="1557" width="6.90625" style="90" customWidth="1"/>
    <col min="1558" max="1558" width="11" style="90" customWidth="1"/>
    <col min="1559" max="1559" width="17" style="90" customWidth="1"/>
    <col min="1560" max="1560" width="21.453125" style="90" customWidth="1"/>
    <col min="1561" max="1561" width="15" style="90" customWidth="1"/>
    <col min="1562" max="1562" width="14.09375" style="90" customWidth="1"/>
    <col min="1563" max="1563" width="20.90625" style="90" customWidth="1"/>
    <col min="1564" max="1792" width="9.09375" style="90"/>
    <col min="1793" max="1793" width="5.90625" style="90" customWidth="1"/>
    <col min="1794" max="1794" width="9" style="90" customWidth="1"/>
    <col min="1795" max="1795" width="6.90625" style="90" customWidth="1"/>
    <col min="1796" max="1796" width="9" style="90" customWidth="1"/>
    <col min="1797" max="1797" width="11" style="90" customWidth="1"/>
    <col min="1798" max="1798" width="4.90625" style="90" customWidth="1"/>
    <col min="1799" max="1799" width="9.09375" style="90" customWidth="1"/>
    <col min="1800" max="1800" width="11.6328125" style="90" customWidth="1"/>
    <col min="1801" max="1801" width="7.90625" style="90" customWidth="1"/>
    <col min="1802" max="1802" width="12.09375" style="90" customWidth="1"/>
    <col min="1803" max="1803" width="10.09375" style="90" customWidth="1"/>
    <col min="1804" max="1804" width="9.6328125" style="90" customWidth="1"/>
    <col min="1805" max="1805" width="12.6328125" style="90" customWidth="1"/>
    <col min="1806" max="1806" width="8" style="90" customWidth="1"/>
    <col min="1807" max="1807" width="12.09375" style="90" customWidth="1"/>
    <col min="1808" max="1808" width="9.546875" style="90" customWidth="1"/>
    <col min="1809" max="1809" width="10.09375" style="90" customWidth="1"/>
    <col min="1810" max="1810" width="8.09375" style="90" customWidth="1"/>
    <col min="1811" max="1811" width="8.453125" style="90" customWidth="1"/>
    <col min="1812" max="1812" width="9.09375" style="90" customWidth="1"/>
    <col min="1813" max="1813" width="6.90625" style="90" customWidth="1"/>
    <col min="1814" max="1814" width="11" style="90" customWidth="1"/>
    <col min="1815" max="1815" width="17" style="90" customWidth="1"/>
    <col min="1816" max="1816" width="21.453125" style="90" customWidth="1"/>
    <col min="1817" max="1817" width="15" style="90" customWidth="1"/>
    <col min="1818" max="1818" width="14.09375" style="90" customWidth="1"/>
    <col min="1819" max="1819" width="20.90625" style="90" customWidth="1"/>
    <col min="1820" max="2048" width="9.09375" style="90"/>
    <col min="2049" max="2049" width="5.90625" style="90" customWidth="1"/>
    <col min="2050" max="2050" width="9" style="90" customWidth="1"/>
    <col min="2051" max="2051" width="6.90625" style="90" customWidth="1"/>
    <col min="2052" max="2052" width="9" style="90" customWidth="1"/>
    <col min="2053" max="2053" width="11" style="90" customWidth="1"/>
    <col min="2054" max="2054" width="4.90625" style="90" customWidth="1"/>
    <col min="2055" max="2055" width="9.09375" style="90" customWidth="1"/>
    <col min="2056" max="2056" width="11.6328125" style="90" customWidth="1"/>
    <col min="2057" max="2057" width="7.90625" style="90" customWidth="1"/>
    <col min="2058" max="2058" width="12.09375" style="90" customWidth="1"/>
    <col min="2059" max="2059" width="10.09375" style="90" customWidth="1"/>
    <col min="2060" max="2060" width="9.6328125" style="90" customWidth="1"/>
    <col min="2061" max="2061" width="12.6328125" style="90" customWidth="1"/>
    <col min="2062" max="2062" width="8" style="90" customWidth="1"/>
    <col min="2063" max="2063" width="12.09375" style="90" customWidth="1"/>
    <col min="2064" max="2064" width="9.546875" style="90" customWidth="1"/>
    <col min="2065" max="2065" width="10.09375" style="90" customWidth="1"/>
    <col min="2066" max="2066" width="8.09375" style="90" customWidth="1"/>
    <col min="2067" max="2067" width="8.453125" style="90" customWidth="1"/>
    <col min="2068" max="2068" width="9.09375" style="90" customWidth="1"/>
    <col min="2069" max="2069" width="6.90625" style="90" customWidth="1"/>
    <col min="2070" max="2070" width="11" style="90" customWidth="1"/>
    <col min="2071" max="2071" width="17" style="90" customWidth="1"/>
    <col min="2072" max="2072" width="21.453125" style="90" customWidth="1"/>
    <col min="2073" max="2073" width="15" style="90" customWidth="1"/>
    <col min="2074" max="2074" width="14.09375" style="90" customWidth="1"/>
    <col min="2075" max="2075" width="20.90625" style="90" customWidth="1"/>
    <col min="2076" max="2304" width="9.09375" style="90"/>
    <col min="2305" max="2305" width="5.90625" style="90" customWidth="1"/>
    <col min="2306" max="2306" width="9" style="90" customWidth="1"/>
    <col min="2307" max="2307" width="6.90625" style="90" customWidth="1"/>
    <col min="2308" max="2308" width="9" style="90" customWidth="1"/>
    <col min="2309" max="2309" width="11" style="90" customWidth="1"/>
    <col min="2310" max="2310" width="4.90625" style="90" customWidth="1"/>
    <col min="2311" max="2311" width="9.09375" style="90" customWidth="1"/>
    <col min="2312" max="2312" width="11.6328125" style="90" customWidth="1"/>
    <col min="2313" max="2313" width="7.90625" style="90" customWidth="1"/>
    <col min="2314" max="2314" width="12.09375" style="90" customWidth="1"/>
    <col min="2315" max="2315" width="10.09375" style="90" customWidth="1"/>
    <col min="2316" max="2316" width="9.6328125" style="90" customWidth="1"/>
    <col min="2317" max="2317" width="12.6328125" style="90" customWidth="1"/>
    <col min="2318" max="2318" width="8" style="90" customWidth="1"/>
    <col min="2319" max="2319" width="12.09375" style="90" customWidth="1"/>
    <col min="2320" max="2320" width="9.546875" style="90" customWidth="1"/>
    <col min="2321" max="2321" width="10.09375" style="90" customWidth="1"/>
    <col min="2322" max="2322" width="8.09375" style="90" customWidth="1"/>
    <col min="2323" max="2323" width="8.453125" style="90" customWidth="1"/>
    <col min="2324" max="2324" width="9.09375" style="90" customWidth="1"/>
    <col min="2325" max="2325" width="6.90625" style="90" customWidth="1"/>
    <col min="2326" max="2326" width="11" style="90" customWidth="1"/>
    <col min="2327" max="2327" width="17" style="90" customWidth="1"/>
    <col min="2328" max="2328" width="21.453125" style="90" customWidth="1"/>
    <col min="2329" max="2329" width="15" style="90" customWidth="1"/>
    <col min="2330" max="2330" width="14.09375" style="90" customWidth="1"/>
    <col min="2331" max="2331" width="20.90625" style="90" customWidth="1"/>
    <col min="2332" max="2560" width="9.09375" style="90"/>
    <col min="2561" max="2561" width="5.90625" style="90" customWidth="1"/>
    <col min="2562" max="2562" width="9" style="90" customWidth="1"/>
    <col min="2563" max="2563" width="6.90625" style="90" customWidth="1"/>
    <col min="2564" max="2564" width="9" style="90" customWidth="1"/>
    <col min="2565" max="2565" width="11" style="90" customWidth="1"/>
    <col min="2566" max="2566" width="4.90625" style="90" customWidth="1"/>
    <col min="2567" max="2567" width="9.09375" style="90" customWidth="1"/>
    <col min="2568" max="2568" width="11.6328125" style="90" customWidth="1"/>
    <col min="2569" max="2569" width="7.90625" style="90" customWidth="1"/>
    <col min="2570" max="2570" width="12.09375" style="90" customWidth="1"/>
    <col min="2571" max="2571" width="10.09375" style="90" customWidth="1"/>
    <col min="2572" max="2572" width="9.6328125" style="90" customWidth="1"/>
    <col min="2573" max="2573" width="12.6328125" style="90" customWidth="1"/>
    <col min="2574" max="2574" width="8" style="90" customWidth="1"/>
    <col min="2575" max="2575" width="12.09375" style="90" customWidth="1"/>
    <col min="2576" max="2576" width="9.546875" style="90" customWidth="1"/>
    <col min="2577" max="2577" width="10.09375" style="90" customWidth="1"/>
    <col min="2578" max="2578" width="8.09375" style="90" customWidth="1"/>
    <col min="2579" max="2579" width="8.453125" style="90" customWidth="1"/>
    <col min="2580" max="2580" width="9.09375" style="90" customWidth="1"/>
    <col min="2581" max="2581" width="6.90625" style="90" customWidth="1"/>
    <col min="2582" max="2582" width="11" style="90" customWidth="1"/>
    <col min="2583" max="2583" width="17" style="90" customWidth="1"/>
    <col min="2584" max="2584" width="21.453125" style="90" customWidth="1"/>
    <col min="2585" max="2585" width="15" style="90" customWidth="1"/>
    <col min="2586" max="2586" width="14.09375" style="90" customWidth="1"/>
    <col min="2587" max="2587" width="20.90625" style="90" customWidth="1"/>
    <col min="2588" max="2816" width="9.09375" style="90"/>
    <col min="2817" max="2817" width="5.90625" style="90" customWidth="1"/>
    <col min="2818" max="2818" width="9" style="90" customWidth="1"/>
    <col min="2819" max="2819" width="6.90625" style="90" customWidth="1"/>
    <col min="2820" max="2820" width="9" style="90" customWidth="1"/>
    <col min="2821" max="2821" width="11" style="90" customWidth="1"/>
    <col min="2822" max="2822" width="4.90625" style="90" customWidth="1"/>
    <col min="2823" max="2823" width="9.09375" style="90" customWidth="1"/>
    <col min="2824" max="2824" width="11.6328125" style="90" customWidth="1"/>
    <col min="2825" max="2825" width="7.90625" style="90" customWidth="1"/>
    <col min="2826" max="2826" width="12.09375" style="90" customWidth="1"/>
    <col min="2827" max="2827" width="10.09375" style="90" customWidth="1"/>
    <col min="2828" max="2828" width="9.6328125" style="90" customWidth="1"/>
    <col min="2829" max="2829" width="12.6328125" style="90" customWidth="1"/>
    <col min="2830" max="2830" width="8" style="90" customWidth="1"/>
    <col min="2831" max="2831" width="12.09375" style="90" customWidth="1"/>
    <col min="2832" max="2832" width="9.546875" style="90" customWidth="1"/>
    <col min="2833" max="2833" width="10.09375" style="90" customWidth="1"/>
    <col min="2834" max="2834" width="8.09375" style="90" customWidth="1"/>
    <col min="2835" max="2835" width="8.453125" style="90" customWidth="1"/>
    <col min="2836" max="2836" width="9.09375" style="90" customWidth="1"/>
    <col min="2837" max="2837" width="6.90625" style="90" customWidth="1"/>
    <col min="2838" max="2838" width="11" style="90" customWidth="1"/>
    <col min="2839" max="2839" width="17" style="90" customWidth="1"/>
    <col min="2840" max="2840" width="21.453125" style="90" customWidth="1"/>
    <col min="2841" max="2841" width="15" style="90" customWidth="1"/>
    <col min="2842" max="2842" width="14.09375" style="90" customWidth="1"/>
    <col min="2843" max="2843" width="20.90625" style="90" customWidth="1"/>
    <col min="2844" max="3072" width="9.09375" style="90"/>
    <col min="3073" max="3073" width="5.90625" style="90" customWidth="1"/>
    <col min="3074" max="3074" width="9" style="90" customWidth="1"/>
    <col min="3075" max="3075" width="6.90625" style="90" customWidth="1"/>
    <col min="3076" max="3076" width="9" style="90" customWidth="1"/>
    <col min="3077" max="3077" width="11" style="90" customWidth="1"/>
    <col min="3078" max="3078" width="4.90625" style="90" customWidth="1"/>
    <col min="3079" max="3079" width="9.09375" style="90" customWidth="1"/>
    <col min="3080" max="3080" width="11.6328125" style="90" customWidth="1"/>
    <col min="3081" max="3081" width="7.90625" style="90" customWidth="1"/>
    <col min="3082" max="3082" width="12.09375" style="90" customWidth="1"/>
    <col min="3083" max="3083" width="10.09375" style="90" customWidth="1"/>
    <col min="3084" max="3084" width="9.6328125" style="90" customWidth="1"/>
    <col min="3085" max="3085" width="12.6328125" style="90" customWidth="1"/>
    <col min="3086" max="3086" width="8" style="90" customWidth="1"/>
    <col min="3087" max="3087" width="12.09375" style="90" customWidth="1"/>
    <col min="3088" max="3088" width="9.546875" style="90" customWidth="1"/>
    <col min="3089" max="3089" width="10.09375" style="90" customWidth="1"/>
    <col min="3090" max="3090" width="8.09375" style="90" customWidth="1"/>
    <col min="3091" max="3091" width="8.453125" style="90" customWidth="1"/>
    <col min="3092" max="3092" width="9.09375" style="90" customWidth="1"/>
    <col min="3093" max="3093" width="6.90625" style="90" customWidth="1"/>
    <col min="3094" max="3094" width="11" style="90" customWidth="1"/>
    <col min="3095" max="3095" width="17" style="90" customWidth="1"/>
    <col min="3096" max="3096" width="21.453125" style="90" customWidth="1"/>
    <col min="3097" max="3097" width="15" style="90" customWidth="1"/>
    <col min="3098" max="3098" width="14.09375" style="90" customWidth="1"/>
    <col min="3099" max="3099" width="20.90625" style="90" customWidth="1"/>
    <col min="3100" max="3328" width="9.09375" style="90"/>
    <col min="3329" max="3329" width="5.90625" style="90" customWidth="1"/>
    <col min="3330" max="3330" width="9" style="90" customWidth="1"/>
    <col min="3331" max="3331" width="6.90625" style="90" customWidth="1"/>
    <col min="3332" max="3332" width="9" style="90" customWidth="1"/>
    <col min="3333" max="3333" width="11" style="90" customWidth="1"/>
    <col min="3334" max="3334" width="4.90625" style="90" customWidth="1"/>
    <col min="3335" max="3335" width="9.09375" style="90" customWidth="1"/>
    <col min="3336" max="3336" width="11.6328125" style="90" customWidth="1"/>
    <col min="3337" max="3337" width="7.90625" style="90" customWidth="1"/>
    <col min="3338" max="3338" width="12.09375" style="90" customWidth="1"/>
    <col min="3339" max="3339" width="10.09375" style="90" customWidth="1"/>
    <col min="3340" max="3340" width="9.6328125" style="90" customWidth="1"/>
    <col min="3341" max="3341" width="12.6328125" style="90" customWidth="1"/>
    <col min="3342" max="3342" width="8" style="90" customWidth="1"/>
    <col min="3343" max="3343" width="12.09375" style="90" customWidth="1"/>
    <col min="3344" max="3344" width="9.546875" style="90" customWidth="1"/>
    <col min="3345" max="3345" width="10.09375" style="90" customWidth="1"/>
    <col min="3346" max="3346" width="8.09375" style="90" customWidth="1"/>
    <col min="3347" max="3347" width="8.453125" style="90" customWidth="1"/>
    <col min="3348" max="3348" width="9.09375" style="90" customWidth="1"/>
    <col min="3349" max="3349" width="6.90625" style="90" customWidth="1"/>
    <col min="3350" max="3350" width="11" style="90" customWidth="1"/>
    <col min="3351" max="3351" width="17" style="90" customWidth="1"/>
    <col min="3352" max="3352" width="21.453125" style="90" customWidth="1"/>
    <col min="3353" max="3353" width="15" style="90" customWidth="1"/>
    <col min="3354" max="3354" width="14.09375" style="90" customWidth="1"/>
    <col min="3355" max="3355" width="20.90625" style="90" customWidth="1"/>
    <col min="3356" max="3584" width="9.09375" style="90"/>
    <col min="3585" max="3585" width="5.90625" style="90" customWidth="1"/>
    <col min="3586" max="3586" width="9" style="90" customWidth="1"/>
    <col min="3587" max="3587" width="6.90625" style="90" customWidth="1"/>
    <col min="3588" max="3588" width="9" style="90" customWidth="1"/>
    <col min="3589" max="3589" width="11" style="90" customWidth="1"/>
    <col min="3590" max="3590" width="4.90625" style="90" customWidth="1"/>
    <col min="3591" max="3591" width="9.09375" style="90" customWidth="1"/>
    <col min="3592" max="3592" width="11.6328125" style="90" customWidth="1"/>
    <col min="3593" max="3593" width="7.90625" style="90" customWidth="1"/>
    <col min="3594" max="3594" width="12.09375" style="90" customWidth="1"/>
    <col min="3595" max="3595" width="10.09375" style="90" customWidth="1"/>
    <col min="3596" max="3596" width="9.6328125" style="90" customWidth="1"/>
    <col min="3597" max="3597" width="12.6328125" style="90" customWidth="1"/>
    <col min="3598" max="3598" width="8" style="90" customWidth="1"/>
    <col min="3599" max="3599" width="12.09375" style="90" customWidth="1"/>
    <col min="3600" max="3600" width="9.546875" style="90" customWidth="1"/>
    <col min="3601" max="3601" width="10.09375" style="90" customWidth="1"/>
    <col min="3602" max="3602" width="8.09375" style="90" customWidth="1"/>
    <col min="3603" max="3603" width="8.453125" style="90" customWidth="1"/>
    <col min="3604" max="3604" width="9.09375" style="90" customWidth="1"/>
    <col min="3605" max="3605" width="6.90625" style="90" customWidth="1"/>
    <col min="3606" max="3606" width="11" style="90" customWidth="1"/>
    <col min="3607" max="3607" width="17" style="90" customWidth="1"/>
    <col min="3608" max="3608" width="21.453125" style="90" customWidth="1"/>
    <col min="3609" max="3609" width="15" style="90" customWidth="1"/>
    <col min="3610" max="3610" width="14.09375" style="90" customWidth="1"/>
    <col min="3611" max="3611" width="20.90625" style="90" customWidth="1"/>
    <col min="3612" max="3840" width="9.09375" style="90"/>
    <col min="3841" max="3841" width="5.90625" style="90" customWidth="1"/>
    <col min="3842" max="3842" width="9" style="90" customWidth="1"/>
    <col min="3843" max="3843" width="6.90625" style="90" customWidth="1"/>
    <col min="3844" max="3844" width="9" style="90" customWidth="1"/>
    <col min="3845" max="3845" width="11" style="90" customWidth="1"/>
    <col min="3846" max="3846" width="4.90625" style="90" customWidth="1"/>
    <col min="3847" max="3847" width="9.09375" style="90" customWidth="1"/>
    <col min="3848" max="3848" width="11.6328125" style="90" customWidth="1"/>
    <col min="3849" max="3849" width="7.90625" style="90" customWidth="1"/>
    <col min="3850" max="3850" width="12.09375" style="90" customWidth="1"/>
    <col min="3851" max="3851" width="10.09375" style="90" customWidth="1"/>
    <col min="3852" max="3852" width="9.6328125" style="90" customWidth="1"/>
    <col min="3853" max="3853" width="12.6328125" style="90" customWidth="1"/>
    <col min="3854" max="3854" width="8" style="90" customWidth="1"/>
    <col min="3855" max="3855" width="12.09375" style="90" customWidth="1"/>
    <col min="3856" max="3856" width="9.546875" style="90" customWidth="1"/>
    <col min="3857" max="3857" width="10.09375" style="90" customWidth="1"/>
    <col min="3858" max="3858" width="8.09375" style="90" customWidth="1"/>
    <col min="3859" max="3859" width="8.453125" style="90" customWidth="1"/>
    <col min="3860" max="3860" width="9.09375" style="90" customWidth="1"/>
    <col min="3861" max="3861" width="6.90625" style="90" customWidth="1"/>
    <col min="3862" max="3862" width="11" style="90" customWidth="1"/>
    <col min="3863" max="3863" width="17" style="90" customWidth="1"/>
    <col min="3864" max="3864" width="21.453125" style="90" customWidth="1"/>
    <col min="3865" max="3865" width="15" style="90" customWidth="1"/>
    <col min="3866" max="3866" width="14.09375" style="90" customWidth="1"/>
    <col min="3867" max="3867" width="20.90625" style="90" customWidth="1"/>
    <col min="3868" max="4096" width="9.09375" style="90"/>
    <col min="4097" max="4097" width="5.90625" style="90" customWidth="1"/>
    <col min="4098" max="4098" width="9" style="90" customWidth="1"/>
    <col min="4099" max="4099" width="6.90625" style="90" customWidth="1"/>
    <col min="4100" max="4100" width="9" style="90" customWidth="1"/>
    <col min="4101" max="4101" width="11" style="90" customWidth="1"/>
    <col min="4102" max="4102" width="4.90625" style="90" customWidth="1"/>
    <col min="4103" max="4103" width="9.09375" style="90" customWidth="1"/>
    <col min="4104" max="4104" width="11.6328125" style="90" customWidth="1"/>
    <col min="4105" max="4105" width="7.90625" style="90" customWidth="1"/>
    <col min="4106" max="4106" width="12.09375" style="90" customWidth="1"/>
    <col min="4107" max="4107" width="10.09375" style="90" customWidth="1"/>
    <col min="4108" max="4108" width="9.6328125" style="90" customWidth="1"/>
    <col min="4109" max="4109" width="12.6328125" style="90" customWidth="1"/>
    <col min="4110" max="4110" width="8" style="90" customWidth="1"/>
    <col min="4111" max="4111" width="12.09375" style="90" customWidth="1"/>
    <col min="4112" max="4112" width="9.546875" style="90" customWidth="1"/>
    <col min="4113" max="4113" width="10.09375" style="90" customWidth="1"/>
    <col min="4114" max="4114" width="8.09375" style="90" customWidth="1"/>
    <col min="4115" max="4115" width="8.453125" style="90" customWidth="1"/>
    <col min="4116" max="4116" width="9.09375" style="90" customWidth="1"/>
    <col min="4117" max="4117" width="6.90625" style="90" customWidth="1"/>
    <col min="4118" max="4118" width="11" style="90" customWidth="1"/>
    <col min="4119" max="4119" width="17" style="90" customWidth="1"/>
    <col min="4120" max="4120" width="21.453125" style="90" customWidth="1"/>
    <col min="4121" max="4121" width="15" style="90" customWidth="1"/>
    <col min="4122" max="4122" width="14.09375" style="90" customWidth="1"/>
    <col min="4123" max="4123" width="20.90625" style="90" customWidth="1"/>
    <col min="4124" max="4352" width="9.09375" style="90"/>
    <col min="4353" max="4353" width="5.90625" style="90" customWidth="1"/>
    <col min="4354" max="4354" width="9" style="90" customWidth="1"/>
    <col min="4355" max="4355" width="6.90625" style="90" customWidth="1"/>
    <col min="4356" max="4356" width="9" style="90" customWidth="1"/>
    <col min="4357" max="4357" width="11" style="90" customWidth="1"/>
    <col min="4358" max="4358" width="4.90625" style="90" customWidth="1"/>
    <col min="4359" max="4359" width="9.09375" style="90" customWidth="1"/>
    <col min="4360" max="4360" width="11.6328125" style="90" customWidth="1"/>
    <col min="4361" max="4361" width="7.90625" style="90" customWidth="1"/>
    <col min="4362" max="4362" width="12.09375" style="90" customWidth="1"/>
    <col min="4363" max="4363" width="10.09375" style="90" customWidth="1"/>
    <col min="4364" max="4364" width="9.6328125" style="90" customWidth="1"/>
    <col min="4365" max="4365" width="12.6328125" style="90" customWidth="1"/>
    <col min="4366" max="4366" width="8" style="90" customWidth="1"/>
    <col min="4367" max="4367" width="12.09375" style="90" customWidth="1"/>
    <col min="4368" max="4368" width="9.546875" style="90" customWidth="1"/>
    <col min="4369" max="4369" width="10.09375" style="90" customWidth="1"/>
    <col min="4370" max="4370" width="8.09375" style="90" customWidth="1"/>
    <col min="4371" max="4371" width="8.453125" style="90" customWidth="1"/>
    <col min="4372" max="4372" width="9.09375" style="90" customWidth="1"/>
    <col min="4373" max="4373" width="6.90625" style="90" customWidth="1"/>
    <col min="4374" max="4374" width="11" style="90" customWidth="1"/>
    <col min="4375" max="4375" width="17" style="90" customWidth="1"/>
    <col min="4376" max="4376" width="21.453125" style="90" customWidth="1"/>
    <col min="4377" max="4377" width="15" style="90" customWidth="1"/>
    <col min="4378" max="4378" width="14.09375" style="90" customWidth="1"/>
    <col min="4379" max="4379" width="20.90625" style="90" customWidth="1"/>
    <col min="4380" max="4608" width="9.09375" style="90"/>
    <col min="4609" max="4609" width="5.90625" style="90" customWidth="1"/>
    <col min="4610" max="4610" width="9" style="90" customWidth="1"/>
    <col min="4611" max="4611" width="6.90625" style="90" customWidth="1"/>
    <col min="4612" max="4612" width="9" style="90" customWidth="1"/>
    <col min="4613" max="4613" width="11" style="90" customWidth="1"/>
    <col min="4614" max="4614" width="4.90625" style="90" customWidth="1"/>
    <col min="4615" max="4615" width="9.09375" style="90" customWidth="1"/>
    <col min="4616" max="4616" width="11.6328125" style="90" customWidth="1"/>
    <col min="4617" max="4617" width="7.90625" style="90" customWidth="1"/>
    <col min="4618" max="4618" width="12.09375" style="90" customWidth="1"/>
    <col min="4619" max="4619" width="10.09375" style="90" customWidth="1"/>
    <col min="4620" max="4620" width="9.6328125" style="90" customWidth="1"/>
    <col min="4621" max="4621" width="12.6328125" style="90" customWidth="1"/>
    <col min="4622" max="4622" width="8" style="90" customWidth="1"/>
    <col min="4623" max="4623" width="12.09375" style="90" customWidth="1"/>
    <col min="4624" max="4624" width="9.546875" style="90" customWidth="1"/>
    <col min="4625" max="4625" width="10.09375" style="90" customWidth="1"/>
    <col min="4626" max="4626" width="8.09375" style="90" customWidth="1"/>
    <col min="4627" max="4627" width="8.453125" style="90" customWidth="1"/>
    <col min="4628" max="4628" width="9.09375" style="90" customWidth="1"/>
    <col min="4629" max="4629" width="6.90625" style="90" customWidth="1"/>
    <col min="4630" max="4630" width="11" style="90" customWidth="1"/>
    <col min="4631" max="4631" width="17" style="90" customWidth="1"/>
    <col min="4632" max="4632" width="21.453125" style="90" customWidth="1"/>
    <col min="4633" max="4633" width="15" style="90" customWidth="1"/>
    <col min="4634" max="4634" width="14.09375" style="90" customWidth="1"/>
    <col min="4635" max="4635" width="20.90625" style="90" customWidth="1"/>
    <col min="4636" max="4864" width="9.09375" style="90"/>
    <col min="4865" max="4865" width="5.90625" style="90" customWidth="1"/>
    <col min="4866" max="4866" width="9" style="90" customWidth="1"/>
    <col min="4867" max="4867" width="6.90625" style="90" customWidth="1"/>
    <col min="4868" max="4868" width="9" style="90" customWidth="1"/>
    <col min="4869" max="4869" width="11" style="90" customWidth="1"/>
    <col min="4870" max="4870" width="4.90625" style="90" customWidth="1"/>
    <col min="4871" max="4871" width="9.09375" style="90" customWidth="1"/>
    <col min="4872" max="4872" width="11.6328125" style="90" customWidth="1"/>
    <col min="4873" max="4873" width="7.90625" style="90" customWidth="1"/>
    <col min="4874" max="4874" width="12.09375" style="90" customWidth="1"/>
    <col min="4875" max="4875" width="10.09375" style="90" customWidth="1"/>
    <col min="4876" max="4876" width="9.6328125" style="90" customWidth="1"/>
    <col min="4877" max="4877" width="12.6328125" style="90" customWidth="1"/>
    <col min="4878" max="4878" width="8" style="90" customWidth="1"/>
    <col min="4879" max="4879" width="12.09375" style="90" customWidth="1"/>
    <col min="4880" max="4880" width="9.546875" style="90" customWidth="1"/>
    <col min="4881" max="4881" width="10.09375" style="90" customWidth="1"/>
    <col min="4882" max="4882" width="8.09375" style="90" customWidth="1"/>
    <col min="4883" max="4883" width="8.453125" style="90" customWidth="1"/>
    <col min="4884" max="4884" width="9.09375" style="90" customWidth="1"/>
    <col min="4885" max="4885" width="6.90625" style="90" customWidth="1"/>
    <col min="4886" max="4886" width="11" style="90" customWidth="1"/>
    <col min="4887" max="4887" width="17" style="90" customWidth="1"/>
    <col min="4888" max="4888" width="21.453125" style="90" customWidth="1"/>
    <col min="4889" max="4889" width="15" style="90" customWidth="1"/>
    <col min="4890" max="4890" width="14.09375" style="90" customWidth="1"/>
    <col min="4891" max="4891" width="20.90625" style="90" customWidth="1"/>
    <col min="4892" max="5120" width="9.09375" style="90"/>
    <col min="5121" max="5121" width="5.90625" style="90" customWidth="1"/>
    <col min="5122" max="5122" width="9" style="90" customWidth="1"/>
    <col min="5123" max="5123" width="6.90625" style="90" customWidth="1"/>
    <col min="5124" max="5124" width="9" style="90" customWidth="1"/>
    <col min="5125" max="5125" width="11" style="90" customWidth="1"/>
    <col min="5126" max="5126" width="4.90625" style="90" customWidth="1"/>
    <col min="5127" max="5127" width="9.09375" style="90" customWidth="1"/>
    <col min="5128" max="5128" width="11.6328125" style="90" customWidth="1"/>
    <col min="5129" max="5129" width="7.90625" style="90" customWidth="1"/>
    <col min="5130" max="5130" width="12.09375" style="90" customWidth="1"/>
    <col min="5131" max="5131" width="10.09375" style="90" customWidth="1"/>
    <col min="5132" max="5132" width="9.6328125" style="90" customWidth="1"/>
    <col min="5133" max="5133" width="12.6328125" style="90" customWidth="1"/>
    <col min="5134" max="5134" width="8" style="90" customWidth="1"/>
    <col min="5135" max="5135" width="12.09375" style="90" customWidth="1"/>
    <col min="5136" max="5136" width="9.546875" style="90" customWidth="1"/>
    <col min="5137" max="5137" width="10.09375" style="90" customWidth="1"/>
    <col min="5138" max="5138" width="8.09375" style="90" customWidth="1"/>
    <col min="5139" max="5139" width="8.453125" style="90" customWidth="1"/>
    <col min="5140" max="5140" width="9.09375" style="90" customWidth="1"/>
    <col min="5141" max="5141" width="6.90625" style="90" customWidth="1"/>
    <col min="5142" max="5142" width="11" style="90" customWidth="1"/>
    <col min="5143" max="5143" width="17" style="90" customWidth="1"/>
    <col min="5144" max="5144" width="21.453125" style="90" customWidth="1"/>
    <col min="5145" max="5145" width="15" style="90" customWidth="1"/>
    <col min="5146" max="5146" width="14.09375" style="90" customWidth="1"/>
    <col min="5147" max="5147" width="20.90625" style="90" customWidth="1"/>
    <col min="5148" max="5376" width="9.09375" style="90"/>
    <col min="5377" max="5377" width="5.90625" style="90" customWidth="1"/>
    <col min="5378" max="5378" width="9" style="90" customWidth="1"/>
    <col min="5379" max="5379" width="6.90625" style="90" customWidth="1"/>
    <col min="5380" max="5380" width="9" style="90" customWidth="1"/>
    <col min="5381" max="5381" width="11" style="90" customWidth="1"/>
    <col min="5382" max="5382" width="4.90625" style="90" customWidth="1"/>
    <col min="5383" max="5383" width="9.09375" style="90" customWidth="1"/>
    <col min="5384" max="5384" width="11.6328125" style="90" customWidth="1"/>
    <col min="5385" max="5385" width="7.90625" style="90" customWidth="1"/>
    <col min="5386" max="5386" width="12.09375" style="90" customWidth="1"/>
    <col min="5387" max="5387" width="10.09375" style="90" customWidth="1"/>
    <col min="5388" max="5388" width="9.6328125" style="90" customWidth="1"/>
    <col min="5389" max="5389" width="12.6328125" style="90" customWidth="1"/>
    <col min="5390" max="5390" width="8" style="90" customWidth="1"/>
    <col min="5391" max="5391" width="12.09375" style="90" customWidth="1"/>
    <col min="5392" max="5392" width="9.546875" style="90" customWidth="1"/>
    <col min="5393" max="5393" width="10.09375" style="90" customWidth="1"/>
    <col min="5394" max="5394" width="8.09375" style="90" customWidth="1"/>
    <col min="5395" max="5395" width="8.453125" style="90" customWidth="1"/>
    <col min="5396" max="5396" width="9.09375" style="90" customWidth="1"/>
    <col min="5397" max="5397" width="6.90625" style="90" customWidth="1"/>
    <col min="5398" max="5398" width="11" style="90" customWidth="1"/>
    <col min="5399" max="5399" width="17" style="90" customWidth="1"/>
    <col min="5400" max="5400" width="21.453125" style="90" customWidth="1"/>
    <col min="5401" max="5401" width="15" style="90" customWidth="1"/>
    <col min="5402" max="5402" width="14.09375" style="90" customWidth="1"/>
    <col min="5403" max="5403" width="20.90625" style="90" customWidth="1"/>
    <col min="5404" max="5632" width="9.09375" style="90"/>
    <col min="5633" max="5633" width="5.90625" style="90" customWidth="1"/>
    <col min="5634" max="5634" width="9" style="90" customWidth="1"/>
    <col min="5635" max="5635" width="6.90625" style="90" customWidth="1"/>
    <col min="5636" max="5636" width="9" style="90" customWidth="1"/>
    <col min="5637" max="5637" width="11" style="90" customWidth="1"/>
    <col min="5638" max="5638" width="4.90625" style="90" customWidth="1"/>
    <col min="5639" max="5639" width="9.09375" style="90" customWidth="1"/>
    <col min="5640" max="5640" width="11.6328125" style="90" customWidth="1"/>
    <col min="5641" max="5641" width="7.90625" style="90" customWidth="1"/>
    <col min="5642" max="5642" width="12.09375" style="90" customWidth="1"/>
    <col min="5643" max="5643" width="10.09375" style="90" customWidth="1"/>
    <col min="5644" max="5644" width="9.6328125" style="90" customWidth="1"/>
    <col min="5645" max="5645" width="12.6328125" style="90" customWidth="1"/>
    <col min="5646" max="5646" width="8" style="90" customWidth="1"/>
    <col min="5647" max="5647" width="12.09375" style="90" customWidth="1"/>
    <col min="5648" max="5648" width="9.546875" style="90" customWidth="1"/>
    <col min="5649" max="5649" width="10.09375" style="90" customWidth="1"/>
    <col min="5650" max="5650" width="8.09375" style="90" customWidth="1"/>
    <col min="5651" max="5651" width="8.453125" style="90" customWidth="1"/>
    <col min="5652" max="5652" width="9.09375" style="90" customWidth="1"/>
    <col min="5653" max="5653" width="6.90625" style="90" customWidth="1"/>
    <col min="5654" max="5654" width="11" style="90" customWidth="1"/>
    <col min="5655" max="5655" width="17" style="90" customWidth="1"/>
    <col min="5656" max="5656" width="21.453125" style="90" customWidth="1"/>
    <col min="5657" max="5657" width="15" style="90" customWidth="1"/>
    <col min="5658" max="5658" width="14.09375" style="90" customWidth="1"/>
    <col min="5659" max="5659" width="20.90625" style="90" customWidth="1"/>
    <col min="5660" max="5888" width="9.09375" style="90"/>
    <col min="5889" max="5889" width="5.90625" style="90" customWidth="1"/>
    <col min="5890" max="5890" width="9" style="90" customWidth="1"/>
    <col min="5891" max="5891" width="6.90625" style="90" customWidth="1"/>
    <col min="5892" max="5892" width="9" style="90" customWidth="1"/>
    <col min="5893" max="5893" width="11" style="90" customWidth="1"/>
    <col min="5894" max="5894" width="4.90625" style="90" customWidth="1"/>
    <col min="5895" max="5895" width="9.09375" style="90" customWidth="1"/>
    <col min="5896" max="5896" width="11.6328125" style="90" customWidth="1"/>
    <col min="5897" max="5897" width="7.90625" style="90" customWidth="1"/>
    <col min="5898" max="5898" width="12.09375" style="90" customWidth="1"/>
    <col min="5899" max="5899" width="10.09375" style="90" customWidth="1"/>
    <col min="5900" max="5900" width="9.6328125" style="90" customWidth="1"/>
    <col min="5901" max="5901" width="12.6328125" style="90" customWidth="1"/>
    <col min="5902" max="5902" width="8" style="90" customWidth="1"/>
    <col min="5903" max="5903" width="12.09375" style="90" customWidth="1"/>
    <col min="5904" max="5904" width="9.546875" style="90" customWidth="1"/>
    <col min="5905" max="5905" width="10.09375" style="90" customWidth="1"/>
    <col min="5906" max="5906" width="8.09375" style="90" customWidth="1"/>
    <col min="5907" max="5907" width="8.453125" style="90" customWidth="1"/>
    <col min="5908" max="5908" width="9.09375" style="90" customWidth="1"/>
    <col min="5909" max="5909" width="6.90625" style="90" customWidth="1"/>
    <col min="5910" max="5910" width="11" style="90" customWidth="1"/>
    <col min="5911" max="5911" width="17" style="90" customWidth="1"/>
    <col min="5912" max="5912" width="21.453125" style="90" customWidth="1"/>
    <col min="5913" max="5913" width="15" style="90" customWidth="1"/>
    <col min="5914" max="5914" width="14.09375" style="90" customWidth="1"/>
    <col min="5915" max="5915" width="20.90625" style="90" customWidth="1"/>
    <col min="5916" max="6144" width="9.09375" style="90"/>
    <col min="6145" max="6145" width="5.90625" style="90" customWidth="1"/>
    <col min="6146" max="6146" width="9" style="90" customWidth="1"/>
    <col min="6147" max="6147" width="6.90625" style="90" customWidth="1"/>
    <col min="6148" max="6148" width="9" style="90" customWidth="1"/>
    <col min="6149" max="6149" width="11" style="90" customWidth="1"/>
    <col min="6150" max="6150" width="4.90625" style="90" customWidth="1"/>
    <col min="6151" max="6151" width="9.09375" style="90" customWidth="1"/>
    <col min="6152" max="6152" width="11.6328125" style="90" customWidth="1"/>
    <col min="6153" max="6153" width="7.90625" style="90" customWidth="1"/>
    <col min="6154" max="6154" width="12.09375" style="90" customWidth="1"/>
    <col min="6155" max="6155" width="10.09375" style="90" customWidth="1"/>
    <col min="6156" max="6156" width="9.6328125" style="90" customWidth="1"/>
    <col min="6157" max="6157" width="12.6328125" style="90" customWidth="1"/>
    <col min="6158" max="6158" width="8" style="90" customWidth="1"/>
    <col min="6159" max="6159" width="12.09375" style="90" customWidth="1"/>
    <col min="6160" max="6160" width="9.546875" style="90" customWidth="1"/>
    <col min="6161" max="6161" width="10.09375" style="90" customWidth="1"/>
    <col min="6162" max="6162" width="8.09375" style="90" customWidth="1"/>
    <col min="6163" max="6163" width="8.453125" style="90" customWidth="1"/>
    <col min="6164" max="6164" width="9.09375" style="90" customWidth="1"/>
    <col min="6165" max="6165" width="6.90625" style="90" customWidth="1"/>
    <col min="6166" max="6166" width="11" style="90" customWidth="1"/>
    <col min="6167" max="6167" width="17" style="90" customWidth="1"/>
    <col min="6168" max="6168" width="21.453125" style="90" customWidth="1"/>
    <col min="6169" max="6169" width="15" style="90" customWidth="1"/>
    <col min="6170" max="6170" width="14.09375" style="90" customWidth="1"/>
    <col min="6171" max="6171" width="20.90625" style="90" customWidth="1"/>
    <col min="6172" max="6400" width="9.09375" style="90"/>
    <col min="6401" max="6401" width="5.90625" style="90" customWidth="1"/>
    <col min="6402" max="6402" width="9" style="90" customWidth="1"/>
    <col min="6403" max="6403" width="6.90625" style="90" customWidth="1"/>
    <col min="6404" max="6404" width="9" style="90" customWidth="1"/>
    <col min="6405" max="6405" width="11" style="90" customWidth="1"/>
    <col min="6406" max="6406" width="4.90625" style="90" customWidth="1"/>
    <col min="6407" max="6407" width="9.09375" style="90" customWidth="1"/>
    <col min="6408" max="6408" width="11.6328125" style="90" customWidth="1"/>
    <col min="6409" max="6409" width="7.90625" style="90" customWidth="1"/>
    <col min="6410" max="6410" width="12.09375" style="90" customWidth="1"/>
    <col min="6411" max="6411" width="10.09375" style="90" customWidth="1"/>
    <col min="6412" max="6412" width="9.6328125" style="90" customWidth="1"/>
    <col min="6413" max="6413" width="12.6328125" style="90" customWidth="1"/>
    <col min="6414" max="6414" width="8" style="90" customWidth="1"/>
    <col min="6415" max="6415" width="12.09375" style="90" customWidth="1"/>
    <col min="6416" max="6416" width="9.546875" style="90" customWidth="1"/>
    <col min="6417" max="6417" width="10.09375" style="90" customWidth="1"/>
    <col min="6418" max="6418" width="8.09375" style="90" customWidth="1"/>
    <col min="6419" max="6419" width="8.453125" style="90" customWidth="1"/>
    <col min="6420" max="6420" width="9.09375" style="90" customWidth="1"/>
    <col min="6421" max="6421" width="6.90625" style="90" customWidth="1"/>
    <col min="6422" max="6422" width="11" style="90" customWidth="1"/>
    <col min="6423" max="6423" width="17" style="90" customWidth="1"/>
    <col min="6424" max="6424" width="21.453125" style="90" customWidth="1"/>
    <col min="6425" max="6425" width="15" style="90" customWidth="1"/>
    <col min="6426" max="6426" width="14.09375" style="90" customWidth="1"/>
    <col min="6427" max="6427" width="20.90625" style="90" customWidth="1"/>
    <col min="6428" max="6656" width="9.09375" style="90"/>
    <col min="6657" max="6657" width="5.90625" style="90" customWidth="1"/>
    <col min="6658" max="6658" width="9" style="90" customWidth="1"/>
    <col min="6659" max="6659" width="6.90625" style="90" customWidth="1"/>
    <col min="6660" max="6660" width="9" style="90" customWidth="1"/>
    <col min="6661" max="6661" width="11" style="90" customWidth="1"/>
    <col min="6662" max="6662" width="4.90625" style="90" customWidth="1"/>
    <col min="6663" max="6663" width="9.09375" style="90" customWidth="1"/>
    <col min="6664" max="6664" width="11.6328125" style="90" customWidth="1"/>
    <col min="6665" max="6665" width="7.90625" style="90" customWidth="1"/>
    <col min="6666" max="6666" width="12.09375" style="90" customWidth="1"/>
    <col min="6667" max="6667" width="10.09375" style="90" customWidth="1"/>
    <col min="6668" max="6668" width="9.6328125" style="90" customWidth="1"/>
    <col min="6669" max="6669" width="12.6328125" style="90" customWidth="1"/>
    <col min="6670" max="6670" width="8" style="90" customWidth="1"/>
    <col min="6671" max="6671" width="12.09375" style="90" customWidth="1"/>
    <col min="6672" max="6672" width="9.546875" style="90" customWidth="1"/>
    <col min="6673" max="6673" width="10.09375" style="90" customWidth="1"/>
    <col min="6674" max="6674" width="8.09375" style="90" customWidth="1"/>
    <col min="6675" max="6675" width="8.453125" style="90" customWidth="1"/>
    <col min="6676" max="6676" width="9.09375" style="90" customWidth="1"/>
    <col min="6677" max="6677" width="6.90625" style="90" customWidth="1"/>
    <col min="6678" max="6678" width="11" style="90" customWidth="1"/>
    <col min="6679" max="6679" width="17" style="90" customWidth="1"/>
    <col min="6680" max="6680" width="21.453125" style="90" customWidth="1"/>
    <col min="6681" max="6681" width="15" style="90" customWidth="1"/>
    <col min="6682" max="6682" width="14.09375" style="90" customWidth="1"/>
    <col min="6683" max="6683" width="20.90625" style="90" customWidth="1"/>
    <col min="6684" max="6912" width="9.09375" style="90"/>
    <col min="6913" max="6913" width="5.90625" style="90" customWidth="1"/>
    <col min="6914" max="6914" width="9" style="90" customWidth="1"/>
    <col min="6915" max="6915" width="6.90625" style="90" customWidth="1"/>
    <col min="6916" max="6916" width="9" style="90" customWidth="1"/>
    <col min="6917" max="6917" width="11" style="90" customWidth="1"/>
    <col min="6918" max="6918" width="4.90625" style="90" customWidth="1"/>
    <col min="6919" max="6919" width="9.09375" style="90" customWidth="1"/>
    <col min="6920" max="6920" width="11.6328125" style="90" customWidth="1"/>
    <col min="6921" max="6921" width="7.90625" style="90" customWidth="1"/>
    <col min="6922" max="6922" width="12.09375" style="90" customWidth="1"/>
    <col min="6923" max="6923" width="10.09375" style="90" customWidth="1"/>
    <col min="6924" max="6924" width="9.6328125" style="90" customWidth="1"/>
    <col min="6925" max="6925" width="12.6328125" style="90" customWidth="1"/>
    <col min="6926" max="6926" width="8" style="90" customWidth="1"/>
    <col min="6927" max="6927" width="12.09375" style="90" customWidth="1"/>
    <col min="6928" max="6928" width="9.546875" style="90" customWidth="1"/>
    <col min="6929" max="6929" width="10.09375" style="90" customWidth="1"/>
    <col min="6930" max="6930" width="8.09375" style="90" customWidth="1"/>
    <col min="6931" max="6931" width="8.453125" style="90" customWidth="1"/>
    <col min="6932" max="6932" width="9.09375" style="90" customWidth="1"/>
    <col min="6933" max="6933" width="6.90625" style="90" customWidth="1"/>
    <col min="6934" max="6934" width="11" style="90" customWidth="1"/>
    <col min="6935" max="6935" width="17" style="90" customWidth="1"/>
    <col min="6936" max="6936" width="21.453125" style="90" customWidth="1"/>
    <col min="6937" max="6937" width="15" style="90" customWidth="1"/>
    <col min="6938" max="6938" width="14.09375" style="90" customWidth="1"/>
    <col min="6939" max="6939" width="20.90625" style="90" customWidth="1"/>
    <col min="6940" max="7168" width="9.09375" style="90"/>
    <col min="7169" max="7169" width="5.90625" style="90" customWidth="1"/>
    <col min="7170" max="7170" width="9" style="90" customWidth="1"/>
    <col min="7171" max="7171" width="6.90625" style="90" customWidth="1"/>
    <col min="7172" max="7172" width="9" style="90" customWidth="1"/>
    <col min="7173" max="7173" width="11" style="90" customWidth="1"/>
    <col min="7174" max="7174" width="4.90625" style="90" customWidth="1"/>
    <col min="7175" max="7175" width="9.09375" style="90" customWidth="1"/>
    <col min="7176" max="7176" width="11.6328125" style="90" customWidth="1"/>
    <col min="7177" max="7177" width="7.90625" style="90" customWidth="1"/>
    <col min="7178" max="7178" width="12.09375" style="90" customWidth="1"/>
    <col min="7179" max="7179" width="10.09375" style="90" customWidth="1"/>
    <col min="7180" max="7180" width="9.6328125" style="90" customWidth="1"/>
    <col min="7181" max="7181" width="12.6328125" style="90" customWidth="1"/>
    <col min="7182" max="7182" width="8" style="90" customWidth="1"/>
    <col min="7183" max="7183" width="12.09375" style="90" customWidth="1"/>
    <col min="7184" max="7184" width="9.546875" style="90" customWidth="1"/>
    <col min="7185" max="7185" width="10.09375" style="90" customWidth="1"/>
    <col min="7186" max="7186" width="8.09375" style="90" customWidth="1"/>
    <col min="7187" max="7187" width="8.453125" style="90" customWidth="1"/>
    <col min="7188" max="7188" width="9.09375" style="90" customWidth="1"/>
    <col min="7189" max="7189" width="6.90625" style="90" customWidth="1"/>
    <col min="7190" max="7190" width="11" style="90" customWidth="1"/>
    <col min="7191" max="7191" width="17" style="90" customWidth="1"/>
    <col min="7192" max="7192" width="21.453125" style="90" customWidth="1"/>
    <col min="7193" max="7193" width="15" style="90" customWidth="1"/>
    <col min="7194" max="7194" width="14.09375" style="90" customWidth="1"/>
    <col min="7195" max="7195" width="20.90625" style="90" customWidth="1"/>
    <col min="7196" max="7424" width="9.09375" style="90"/>
    <col min="7425" max="7425" width="5.90625" style="90" customWidth="1"/>
    <col min="7426" max="7426" width="9" style="90" customWidth="1"/>
    <col min="7427" max="7427" width="6.90625" style="90" customWidth="1"/>
    <col min="7428" max="7428" width="9" style="90" customWidth="1"/>
    <col min="7429" max="7429" width="11" style="90" customWidth="1"/>
    <col min="7430" max="7430" width="4.90625" style="90" customWidth="1"/>
    <col min="7431" max="7431" width="9.09375" style="90" customWidth="1"/>
    <col min="7432" max="7432" width="11.6328125" style="90" customWidth="1"/>
    <col min="7433" max="7433" width="7.90625" style="90" customWidth="1"/>
    <col min="7434" max="7434" width="12.09375" style="90" customWidth="1"/>
    <col min="7435" max="7435" width="10.09375" style="90" customWidth="1"/>
    <col min="7436" max="7436" width="9.6328125" style="90" customWidth="1"/>
    <col min="7437" max="7437" width="12.6328125" style="90" customWidth="1"/>
    <col min="7438" max="7438" width="8" style="90" customWidth="1"/>
    <col min="7439" max="7439" width="12.09375" style="90" customWidth="1"/>
    <col min="7440" max="7440" width="9.546875" style="90" customWidth="1"/>
    <col min="7441" max="7441" width="10.09375" style="90" customWidth="1"/>
    <col min="7442" max="7442" width="8.09375" style="90" customWidth="1"/>
    <col min="7443" max="7443" width="8.453125" style="90" customWidth="1"/>
    <col min="7444" max="7444" width="9.09375" style="90" customWidth="1"/>
    <col min="7445" max="7445" width="6.90625" style="90" customWidth="1"/>
    <col min="7446" max="7446" width="11" style="90" customWidth="1"/>
    <col min="7447" max="7447" width="17" style="90" customWidth="1"/>
    <col min="7448" max="7448" width="21.453125" style="90" customWidth="1"/>
    <col min="7449" max="7449" width="15" style="90" customWidth="1"/>
    <col min="7450" max="7450" width="14.09375" style="90" customWidth="1"/>
    <col min="7451" max="7451" width="20.90625" style="90" customWidth="1"/>
    <col min="7452" max="7680" width="9.09375" style="90"/>
    <col min="7681" max="7681" width="5.90625" style="90" customWidth="1"/>
    <col min="7682" max="7682" width="9" style="90" customWidth="1"/>
    <col min="7683" max="7683" width="6.90625" style="90" customWidth="1"/>
    <col min="7684" max="7684" width="9" style="90" customWidth="1"/>
    <col min="7685" max="7685" width="11" style="90" customWidth="1"/>
    <col min="7686" max="7686" width="4.90625" style="90" customWidth="1"/>
    <col min="7687" max="7687" width="9.09375" style="90" customWidth="1"/>
    <col min="7688" max="7688" width="11.6328125" style="90" customWidth="1"/>
    <col min="7689" max="7689" width="7.90625" style="90" customWidth="1"/>
    <col min="7690" max="7690" width="12.09375" style="90" customWidth="1"/>
    <col min="7691" max="7691" width="10.09375" style="90" customWidth="1"/>
    <col min="7692" max="7692" width="9.6328125" style="90" customWidth="1"/>
    <col min="7693" max="7693" width="12.6328125" style="90" customWidth="1"/>
    <col min="7694" max="7694" width="8" style="90" customWidth="1"/>
    <col min="7695" max="7695" width="12.09375" style="90" customWidth="1"/>
    <col min="7696" max="7696" width="9.546875" style="90" customWidth="1"/>
    <col min="7697" max="7697" width="10.09375" style="90" customWidth="1"/>
    <col min="7698" max="7698" width="8.09375" style="90" customWidth="1"/>
    <col min="7699" max="7699" width="8.453125" style="90" customWidth="1"/>
    <col min="7700" max="7700" width="9.09375" style="90" customWidth="1"/>
    <col min="7701" max="7701" width="6.90625" style="90" customWidth="1"/>
    <col min="7702" max="7702" width="11" style="90" customWidth="1"/>
    <col min="7703" max="7703" width="17" style="90" customWidth="1"/>
    <col min="7704" max="7704" width="21.453125" style="90" customWidth="1"/>
    <col min="7705" max="7705" width="15" style="90" customWidth="1"/>
    <col min="7706" max="7706" width="14.09375" style="90" customWidth="1"/>
    <col min="7707" max="7707" width="20.90625" style="90" customWidth="1"/>
    <col min="7708" max="7936" width="9.09375" style="90"/>
    <col min="7937" max="7937" width="5.90625" style="90" customWidth="1"/>
    <col min="7938" max="7938" width="9" style="90" customWidth="1"/>
    <col min="7939" max="7939" width="6.90625" style="90" customWidth="1"/>
    <col min="7940" max="7940" width="9" style="90" customWidth="1"/>
    <col min="7941" max="7941" width="11" style="90" customWidth="1"/>
    <col min="7942" max="7942" width="4.90625" style="90" customWidth="1"/>
    <col min="7943" max="7943" width="9.09375" style="90" customWidth="1"/>
    <col min="7944" max="7944" width="11.6328125" style="90" customWidth="1"/>
    <col min="7945" max="7945" width="7.90625" style="90" customWidth="1"/>
    <col min="7946" max="7946" width="12.09375" style="90" customWidth="1"/>
    <col min="7947" max="7947" width="10.09375" style="90" customWidth="1"/>
    <col min="7948" max="7948" width="9.6328125" style="90" customWidth="1"/>
    <col min="7949" max="7949" width="12.6328125" style="90" customWidth="1"/>
    <col min="7950" max="7950" width="8" style="90" customWidth="1"/>
    <col min="7951" max="7951" width="12.09375" style="90" customWidth="1"/>
    <col min="7952" max="7952" width="9.546875" style="90" customWidth="1"/>
    <col min="7953" max="7953" width="10.09375" style="90" customWidth="1"/>
    <col min="7954" max="7954" width="8.09375" style="90" customWidth="1"/>
    <col min="7955" max="7955" width="8.453125" style="90" customWidth="1"/>
    <col min="7956" max="7956" width="9.09375" style="90" customWidth="1"/>
    <col min="7957" max="7957" width="6.90625" style="90" customWidth="1"/>
    <col min="7958" max="7958" width="11" style="90" customWidth="1"/>
    <col min="7959" max="7959" width="17" style="90" customWidth="1"/>
    <col min="7960" max="7960" width="21.453125" style="90" customWidth="1"/>
    <col min="7961" max="7961" width="15" style="90" customWidth="1"/>
    <col min="7962" max="7962" width="14.09375" style="90" customWidth="1"/>
    <col min="7963" max="7963" width="20.90625" style="90" customWidth="1"/>
    <col min="7964" max="8192" width="9.09375" style="90"/>
    <col min="8193" max="8193" width="5.90625" style="90" customWidth="1"/>
    <col min="8194" max="8194" width="9" style="90" customWidth="1"/>
    <col min="8195" max="8195" width="6.90625" style="90" customWidth="1"/>
    <col min="8196" max="8196" width="9" style="90" customWidth="1"/>
    <col min="8197" max="8197" width="11" style="90" customWidth="1"/>
    <col min="8198" max="8198" width="4.90625" style="90" customWidth="1"/>
    <col min="8199" max="8199" width="9.09375" style="90" customWidth="1"/>
    <col min="8200" max="8200" width="11.6328125" style="90" customWidth="1"/>
    <col min="8201" max="8201" width="7.90625" style="90" customWidth="1"/>
    <col min="8202" max="8202" width="12.09375" style="90" customWidth="1"/>
    <col min="8203" max="8203" width="10.09375" style="90" customWidth="1"/>
    <col min="8204" max="8204" width="9.6328125" style="90" customWidth="1"/>
    <col min="8205" max="8205" width="12.6328125" style="90" customWidth="1"/>
    <col min="8206" max="8206" width="8" style="90" customWidth="1"/>
    <col min="8207" max="8207" width="12.09375" style="90" customWidth="1"/>
    <col min="8208" max="8208" width="9.546875" style="90" customWidth="1"/>
    <col min="8209" max="8209" width="10.09375" style="90" customWidth="1"/>
    <col min="8210" max="8210" width="8.09375" style="90" customWidth="1"/>
    <col min="8211" max="8211" width="8.453125" style="90" customWidth="1"/>
    <col min="8212" max="8212" width="9.09375" style="90" customWidth="1"/>
    <col min="8213" max="8213" width="6.90625" style="90" customWidth="1"/>
    <col min="8214" max="8214" width="11" style="90" customWidth="1"/>
    <col min="8215" max="8215" width="17" style="90" customWidth="1"/>
    <col min="8216" max="8216" width="21.453125" style="90" customWidth="1"/>
    <col min="8217" max="8217" width="15" style="90" customWidth="1"/>
    <col min="8218" max="8218" width="14.09375" style="90" customWidth="1"/>
    <col min="8219" max="8219" width="20.90625" style="90" customWidth="1"/>
    <col min="8220" max="8448" width="9.09375" style="90"/>
    <col min="8449" max="8449" width="5.90625" style="90" customWidth="1"/>
    <col min="8450" max="8450" width="9" style="90" customWidth="1"/>
    <col min="8451" max="8451" width="6.90625" style="90" customWidth="1"/>
    <col min="8452" max="8452" width="9" style="90" customWidth="1"/>
    <col min="8453" max="8453" width="11" style="90" customWidth="1"/>
    <col min="8454" max="8454" width="4.90625" style="90" customWidth="1"/>
    <col min="8455" max="8455" width="9.09375" style="90" customWidth="1"/>
    <col min="8456" max="8456" width="11.6328125" style="90" customWidth="1"/>
    <col min="8457" max="8457" width="7.90625" style="90" customWidth="1"/>
    <col min="8458" max="8458" width="12.09375" style="90" customWidth="1"/>
    <col min="8459" max="8459" width="10.09375" style="90" customWidth="1"/>
    <col min="8460" max="8460" width="9.6328125" style="90" customWidth="1"/>
    <col min="8461" max="8461" width="12.6328125" style="90" customWidth="1"/>
    <col min="8462" max="8462" width="8" style="90" customWidth="1"/>
    <col min="8463" max="8463" width="12.09375" style="90" customWidth="1"/>
    <col min="8464" max="8464" width="9.546875" style="90" customWidth="1"/>
    <col min="8465" max="8465" width="10.09375" style="90" customWidth="1"/>
    <col min="8466" max="8466" width="8.09375" style="90" customWidth="1"/>
    <col min="8467" max="8467" width="8.453125" style="90" customWidth="1"/>
    <col min="8468" max="8468" width="9.09375" style="90" customWidth="1"/>
    <col min="8469" max="8469" width="6.90625" style="90" customWidth="1"/>
    <col min="8470" max="8470" width="11" style="90" customWidth="1"/>
    <col min="8471" max="8471" width="17" style="90" customWidth="1"/>
    <col min="8472" max="8472" width="21.453125" style="90" customWidth="1"/>
    <col min="8473" max="8473" width="15" style="90" customWidth="1"/>
    <col min="8474" max="8474" width="14.09375" style="90" customWidth="1"/>
    <col min="8475" max="8475" width="20.90625" style="90" customWidth="1"/>
    <col min="8476" max="8704" width="9.09375" style="90"/>
    <col min="8705" max="8705" width="5.90625" style="90" customWidth="1"/>
    <col min="8706" max="8706" width="9" style="90" customWidth="1"/>
    <col min="8707" max="8707" width="6.90625" style="90" customWidth="1"/>
    <col min="8708" max="8708" width="9" style="90" customWidth="1"/>
    <col min="8709" max="8709" width="11" style="90" customWidth="1"/>
    <col min="8710" max="8710" width="4.90625" style="90" customWidth="1"/>
    <col min="8711" max="8711" width="9.09375" style="90" customWidth="1"/>
    <col min="8712" max="8712" width="11.6328125" style="90" customWidth="1"/>
    <col min="8713" max="8713" width="7.90625" style="90" customWidth="1"/>
    <col min="8714" max="8714" width="12.09375" style="90" customWidth="1"/>
    <col min="8715" max="8715" width="10.09375" style="90" customWidth="1"/>
    <col min="8716" max="8716" width="9.6328125" style="90" customWidth="1"/>
    <col min="8717" max="8717" width="12.6328125" style="90" customWidth="1"/>
    <col min="8718" max="8718" width="8" style="90" customWidth="1"/>
    <col min="8719" max="8719" width="12.09375" style="90" customWidth="1"/>
    <col min="8720" max="8720" width="9.546875" style="90" customWidth="1"/>
    <col min="8721" max="8721" width="10.09375" style="90" customWidth="1"/>
    <col min="8722" max="8722" width="8.09375" style="90" customWidth="1"/>
    <col min="8723" max="8723" width="8.453125" style="90" customWidth="1"/>
    <col min="8724" max="8724" width="9.09375" style="90" customWidth="1"/>
    <col min="8725" max="8725" width="6.90625" style="90" customWidth="1"/>
    <col min="8726" max="8726" width="11" style="90" customWidth="1"/>
    <col min="8727" max="8727" width="17" style="90" customWidth="1"/>
    <col min="8728" max="8728" width="21.453125" style="90" customWidth="1"/>
    <col min="8729" max="8729" width="15" style="90" customWidth="1"/>
    <col min="8730" max="8730" width="14.09375" style="90" customWidth="1"/>
    <col min="8731" max="8731" width="20.90625" style="90" customWidth="1"/>
    <col min="8732" max="8960" width="9.09375" style="90"/>
    <col min="8961" max="8961" width="5.90625" style="90" customWidth="1"/>
    <col min="8962" max="8962" width="9" style="90" customWidth="1"/>
    <col min="8963" max="8963" width="6.90625" style="90" customWidth="1"/>
    <col min="8964" max="8964" width="9" style="90" customWidth="1"/>
    <col min="8965" max="8965" width="11" style="90" customWidth="1"/>
    <col min="8966" max="8966" width="4.90625" style="90" customWidth="1"/>
    <col min="8967" max="8967" width="9.09375" style="90" customWidth="1"/>
    <col min="8968" max="8968" width="11.6328125" style="90" customWidth="1"/>
    <col min="8969" max="8969" width="7.90625" style="90" customWidth="1"/>
    <col min="8970" max="8970" width="12.09375" style="90" customWidth="1"/>
    <col min="8971" max="8971" width="10.09375" style="90" customWidth="1"/>
    <col min="8972" max="8972" width="9.6328125" style="90" customWidth="1"/>
    <col min="8973" max="8973" width="12.6328125" style="90" customWidth="1"/>
    <col min="8974" max="8974" width="8" style="90" customWidth="1"/>
    <col min="8975" max="8975" width="12.09375" style="90" customWidth="1"/>
    <col min="8976" max="8976" width="9.546875" style="90" customWidth="1"/>
    <col min="8977" max="8977" width="10.09375" style="90" customWidth="1"/>
    <col min="8978" max="8978" width="8.09375" style="90" customWidth="1"/>
    <col min="8979" max="8979" width="8.453125" style="90" customWidth="1"/>
    <col min="8980" max="8980" width="9.09375" style="90" customWidth="1"/>
    <col min="8981" max="8981" width="6.90625" style="90" customWidth="1"/>
    <col min="8982" max="8982" width="11" style="90" customWidth="1"/>
    <col min="8983" max="8983" width="17" style="90" customWidth="1"/>
    <col min="8984" max="8984" width="21.453125" style="90" customWidth="1"/>
    <col min="8985" max="8985" width="15" style="90" customWidth="1"/>
    <col min="8986" max="8986" width="14.09375" style="90" customWidth="1"/>
    <col min="8987" max="8987" width="20.90625" style="90" customWidth="1"/>
    <col min="8988" max="9216" width="9.09375" style="90"/>
    <col min="9217" max="9217" width="5.90625" style="90" customWidth="1"/>
    <col min="9218" max="9218" width="9" style="90" customWidth="1"/>
    <col min="9219" max="9219" width="6.90625" style="90" customWidth="1"/>
    <col min="9220" max="9220" width="9" style="90" customWidth="1"/>
    <col min="9221" max="9221" width="11" style="90" customWidth="1"/>
    <col min="9222" max="9222" width="4.90625" style="90" customWidth="1"/>
    <col min="9223" max="9223" width="9.09375" style="90" customWidth="1"/>
    <col min="9224" max="9224" width="11.6328125" style="90" customWidth="1"/>
    <col min="9225" max="9225" width="7.90625" style="90" customWidth="1"/>
    <col min="9226" max="9226" width="12.09375" style="90" customWidth="1"/>
    <col min="9227" max="9227" width="10.09375" style="90" customWidth="1"/>
    <col min="9228" max="9228" width="9.6328125" style="90" customWidth="1"/>
    <col min="9229" max="9229" width="12.6328125" style="90" customWidth="1"/>
    <col min="9230" max="9230" width="8" style="90" customWidth="1"/>
    <col min="9231" max="9231" width="12.09375" style="90" customWidth="1"/>
    <col min="9232" max="9232" width="9.546875" style="90" customWidth="1"/>
    <col min="9233" max="9233" width="10.09375" style="90" customWidth="1"/>
    <col min="9234" max="9234" width="8.09375" style="90" customWidth="1"/>
    <col min="9235" max="9235" width="8.453125" style="90" customWidth="1"/>
    <col min="9236" max="9236" width="9.09375" style="90" customWidth="1"/>
    <col min="9237" max="9237" width="6.90625" style="90" customWidth="1"/>
    <col min="9238" max="9238" width="11" style="90" customWidth="1"/>
    <col min="9239" max="9239" width="17" style="90" customWidth="1"/>
    <col min="9240" max="9240" width="21.453125" style="90" customWidth="1"/>
    <col min="9241" max="9241" width="15" style="90" customWidth="1"/>
    <col min="9242" max="9242" width="14.09375" style="90" customWidth="1"/>
    <col min="9243" max="9243" width="20.90625" style="90" customWidth="1"/>
    <col min="9244" max="9472" width="9.09375" style="90"/>
    <col min="9473" max="9473" width="5.90625" style="90" customWidth="1"/>
    <col min="9474" max="9474" width="9" style="90" customWidth="1"/>
    <col min="9475" max="9475" width="6.90625" style="90" customWidth="1"/>
    <col min="9476" max="9476" width="9" style="90" customWidth="1"/>
    <col min="9477" max="9477" width="11" style="90" customWidth="1"/>
    <col min="9478" max="9478" width="4.90625" style="90" customWidth="1"/>
    <col min="9479" max="9479" width="9.09375" style="90" customWidth="1"/>
    <col min="9480" max="9480" width="11.6328125" style="90" customWidth="1"/>
    <col min="9481" max="9481" width="7.90625" style="90" customWidth="1"/>
    <col min="9482" max="9482" width="12.09375" style="90" customWidth="1"/>
    <col min="9483" max="9483" width="10.09375" style="90" customWidth="1"/>
    <col min="9484" max="9484" width="9.6328125" style="90" customWidth="1"/>
    <col min="9485" max="9485" width="12.6328125" style="90" customWidth="1"/>
    <col min="9486" max="9486" width="8" style="90" customWidth="1"/>
    <col min="9487" max="9487" width="12.09375" style="90" customWidth="1"/>
    <col min="9488" max="9488" width="9.546875" style="90" customWidth="1"/>
    <col min="9489" max="9489" width="10.09375" style="90" customWidth="1"/>
    <col min="9490" max="9490" width="8.09375" style="90" customWidth="1"/>
    <col min="9491" max="9491" width="8.453125" style="90" customWidth="1"/>
    <col min="9492" max="9492" width="9.09375" style="90" customWidth="1"/>
    <col min="9493" max="9493" width="6.90625" style="90" customWidth="1"/>
    <col min="9494" max="9494" width="11" style="90" customWidth="1"/>
    <col min="9495" max="9495" width="17" style="90" customWidth="1"/>
    <col min="9496" max="9496" width="21.453125" style="90" customWidth="1"/>
    <col min="9497" max="9497" width="15" style="90" customWidth="1"/>
    <col min="9498" max="9498" width="14.09375" style="90" customWidth="1"/>
    <col min="9499" max="9499" width="20.90625" style="90" customWidth="1"/>
    <col min="9500" max="9728" width="9.09375" style="90"/>
    <col min="9729" max="9729" width="5.90625" style="90" customWidth="1"/>
    <col min="9730" max="9730" width="9" style="90" customWidth="1"/>
    <col min="9731" max="9731" width="6.90625" style="90" customWidth="1"/>
    <col min="9732" max="9732" width="9" style="90" customWidth="1"/>
    <col min="9733" max="9733" width="11" style="90" customWidth="1"/>
    <col min="9734" max="9734" width="4.90625" style="90" customWidth="1"/>
    <col min="9735" max="9735" width="9.09375" style="90" customWidth="1"/>
    <col min="9736" max="9736" width="11.6328125" style="90" customWidth="1"/>
    <col min="9737" max="9737" width="7.90625" style="90" customWidth="1"/>
    <col min="9738" max="9738" width="12.09375" style="90" customWidth="1"/>
    <col min="9739" max="9739" width="10.09375" style="90" customWidth="1"/>
    <col min="9740" max="9740" width="9.6328125" style="90" customWidth="1"/>
    <col min="9741" max="9741" width="12.6328125" style="90" customWidth="1"/>
    <col min="9742" max="9742" width="8" style="90" customWidth="1"/>
    <col min="9743" max="9743" width="12.09375" style="90" customWidth="1"/>
    <col min="9744" max="9744" width="9.546875" style="90" customWidth="1"/>
    <col min="9745" max="9745" width="10.09375" style="90" customWidth="1"/>
    <col min="9746" max="9746" width="8.09375" style="90" customWidth="1"/>
    <col min="9747" max="9747" width="8.453125" style="90" customWidth="1"/>
    <col min="9748" max="9748" width="9.09375" style="90" customWidth="1"/>
    <col min="9749" max="9749" width="6.90625" style="90" customWidth="1"/>
    <col min="9750" max="9750" width="11" style="90" customWidth="1"/>
    <col min="9751" max="9751" width="17" style="90" customWidth="1"/>
    <col min="9752" max="9752" width="21.453125" style="90" customWidth="1"/>
    <col min="9753" max="9753" width="15" style="90" customWidth="1"/>
    <col min="9754" max="9754" width="14.09375" style="90" customWidth="1"/>
    <col min="9755" max="9755" width="20.90625" style="90" customWidth="1"/>
    <col min="9756" max="9984" width="9.09375" style="90"/>
    <col min="9985" max="9985" width="5.90625" style="90" customWidth="1"/>
    <col min="9986" max="9986" width="9" style="90" customWidth="1"/>
    <col min="9987" max="9987" width="6.90625" style="90" customWidth="1"/>
    <col min="9988" max="9988" width="9" style="90" customWidth="1"/>
    <col min="9989" max="9989" width="11" style="90" customWidth="1"/>
    <col min="9990" max="9990" width="4.90625" style="90" customWidth="1"/>
    <col min="9991" max="9991" width="9.09375" style="90" customWidth="1"/>
    <col min="9992" max="9992" width="11.6328125" style="90" customWidth="1"/>
    <col min="9993" max="9993" width="7.90625" style="90" customWidth="1"/>
    <col min="9994" max="9994" width="12.09375" style="90" customWidth="1"/>
    <col min="9995" max="9995" width="10.09375" style="90" customWidth="1"/>
    <col min="9996" max="9996" width="9.6328125" style="90" customWidth="1"/>
    <col min="9997" max="9997" width="12.6328125" style="90" customWidth="1"/>
    <col min="9998" max="9998" width="8" style="90" customWidth="1"/>
    <col min="9999" max="9999" width="12.09375" style="90" customWidth="1"/>
    <col min="10000" max="10000" width="9.546875" style="90" customWidth="1"/>
    <col min="10001" max="10001" width="10.09375" style="90" customWidth="1"/>
    <col min="10002" max="10002" width="8.09375" style="90" customWidth="1"/>
    <col min="10003" max="10003" width="8.453125" style="90" customWidth="1"/>
    <col min="10004" max="10004" width="9.09375" style="90" customWidth="1"/>
    <col min="10005" max="10005" width="6.90625" style="90" customWidth="1"/>
    <col min="10006" max="10006" width="11" style="90" customWidth="1"/>
    <col min="10007" max="10007" width="17" style="90" customWidth="1"/>
    <col min="10008" max="10008" width="21.453125" style="90" customWidth="1"/>
    <col min="10009" max="10009" width="15" style="90" customWidth="1"/>
    <col min="10010" max="10010" width="14.09375" style="90" customWidth="1"/>
    <col min="10011" max="10011" width="20.90625" style="90" customWidth="1"/>
    <col min="10012" max="10240" width="9.09375" style="90"/>
    <col min="10241" max="10241" width="5.90625" style="90" customWidth="1"/>
    <col min="10242" max="10242" width="9" style="90" customWidth="1"/>
    <col min="10243" max="10243" width="6.90625" style="90" customWidth="1"/>
    <col min="10244" max="10244" width="9" style="90" customWidth="1"/>
    <col min="10245" max="10245" width="11" style="90" customWidth="1"/>
    <col min="10246" max="10246" width="4.90625" style="90" customWidth="1"/>
    <col min="10247" max="10247" width="9.09375" style="90" customWidth="1"/>
    <col min="10248" max="10248" width="11.6328125" style="90" customWidth="1"/>
    <col min="10249" max="10249" width="7.90625" style="90" customWidth="1"/>
    <col min="10250" max="10250" width="12.09375" style="90" customWidth="1"/>
    <col min="10251" max="10251" width="10.09375" style="90" customWidth="1"/>
    <col min="10252" max="10252" width="9.6328125" style="90" customWidth="1"/>
    <col min="10253" max="10253" width="12.6328125" style="90" customWidth="1"/>
    <col min="10254" max="10254" width="8" style="90" customWidth="1"/>
    <col min="10255" max="10255" width="12.09375" style="90" customWidth="1"/>
    <col min="10256" max="10256" width="9.546875" style="90" customWidth="1"/>
    <col min="10257" max="10257" width="10.09375" style="90" customWidth="1"/>
    <col min="10258" max="10258" width="8.09375" style="90" customWidth="1"/>
    <col min="10259" max="10259" width="8.453125" style="90" customWidth="1"/>
    <col min="10260" max="10260" width="9.09375" style="90" customWidth="1"/>
    <col min="10261" max="10261" width="6.90625" style="90" customWidth="1"/>
    <col min="10262" max="10262" width="11" style="90" customWidth="1"/>
    <col min="10263" max="10263" width="17" style="90" customWidth="1"/>
    <col min="10264" max="10264" width="21.453125" style="90" customWidth="1"/>
    <col min="10265" max="10265" width="15" style="90" customWidth="1"/>
    <col min="10266" max="10266" width="14.09375" style="90" customWidth="1"/>
    <col min="10267" max="10267" width="20.90625" style="90" customWidth="1"/>
    <col min="10268" max="10496" width="9.09375" style="90"/>
    <col min="10497" max="10497" width="5.90625" style="90" customWidth="1"/>
    <col min="10498" max="10498" width="9" style="90" customWidth="1"/>
    <col min="10499" max="10499" width="6.90625" style="90" customWidth="1"/>
    <col min="10500" max="10500" width="9" style="90" customWidth="1"/>
    <col min="10501" max="10501" width="11" style="90" customWidth="1"/>
    <col min="10502" max="10502" width="4.90625" style="90" customWidth="1"/>
    <col min="10503" max="10503" width="9.09375" style="90" customWidth="1"/>
    <col min="10504" max="10504" width="11.6328125" style="90" customWidth="1"/>
    <col min="10505" max="10505" width="7.90625" style="90" customWidth="1"/>
    <col min="10506" max="10506" width="12.09375" style="90" customWidth="1"/>
    <col min="10507" max="10507" width="10.09375" style="90" customWidth="1"/>
    <col min="10508" max="10508" width="9.6328125" style="90" customWidth="1"/>
    <col min="10509" max="10509" width="12.6328125" style="90" customWidth="1"/>
    <col min="10510" max="10510" width="8" style="90" customWidth="1"/>
    <col min="10511" max="10511" width="12.09375" style="90" customWidth="1"/>
    <col min="10512" max="10512" width="9.546875" style="90" customWidth="1"/>
    <col min="10513" max="10513" width="10.09375" style="90" customWidth="1"/>
    <col min="10514" max="10514" width="8.09375" style="90" customWidth="1"/>
    <col min="10515" max="10515" width="8.453125" style="90" customWidth="1"/>
    <col min="10516" max="10516" width="9.09375" style="90" customWidth="1"/>
    <col min="10517" max="10517" width="6.90625" style="90" customWidth="1"/>
    <col min="10518" max="10518" width="11" style="90" customWidth="1"/>
    <col min="10519" max="10519" width="17" style="90" customWidth="1"/>
    <col min="10520" max="10520" width="21.453125" style="90" customWidth="1"/>
    <col min="10521" max="10521" width="15" style="90" customWidth="1"/>
    <col min="10522" max="10522" width="14.09375" style="90" customWidth="1"/>
    <col min="10523" max="10523" width="20.90625" style="90" customWidth="1"/>
    <col min="10524" max="10752" width="9.09375" style="90"/>
    <col min="10753" max="10753" width="5.90625" style="90" customWidth="1"/>
    <col min="10754" max="10754" width="9" style="90" customWidth="1"/>
    <col min="10755" max="10755" width="6.90625" style="90" customWidth="1"/>
    <col min="10756" max="10756" width="9" style="90" customWidth="1"/>
    <col min="10757" max="10757" width="11" style="90" customWidth="1"/>
    <col min="10758" max="10758" width="4.90625" style="90" customWidth="1"/>
    <col min="10759" max="10759" width="9.09375" style="90" customWidth="1"/>
    <col min="10760" max="10760" width="11.6328125" style="90" customWidth="1"/>
    <col min="10761" max="10761" width="7.90625" style="90" customWidth="1"/>
    <col min="10762" max="10762" width="12.09375" style="90" customWidth="1"/>
    <col min="10763" max="10763" width="10.09375" style="90" customWidth="1"/>
    <col min="10764" max="10764" width="9.6328125" style="90" customWidth="1"/>
    <col min="10765" max="10765" width="12.6328125" style="90" customWidth="1"/>
    <col min="10766" max="10766" width="8" style="90" customWidth="1"/>
    <col min="10767" max="10767" width="12.09375" style="90" customWidth="1"/>
    <col min="10768" max="10768" width="9.546875" style="90" customWidth="1"/>
    <col min="10769" max="10769" width="10.09375" style="90" customWidth="1"/>
    <col min="10770" max="10770" width="8.09375" style="90" customWidth="1"/>
    <col min="10771" max="10771" width="8.453125" style="90" customWidth="1"/>
    <col min="10772" max="10772" width="9.09375" style="90" customWidth="1"/>
    <col min="10773" max="10773" width="6.90625" style="90" customWidth="1"/>
    <col min="10774" max="10774" width="11" style="90" customWidth="1"/>
    <col min="10775" max="10775" width="17" style="90" customWidth="1"/>
    <col min="10776" max="10776" width="21.453125" style="90" customWidth="1"/>
    <col min="10777" max="10777" width="15" style="90" customWidth="1"/>
    <col min="10778" max="10778" width="14.09375" style="90" customWidth="1"/>
    <col min="10779" max="10779" width="20.90625" style="90" customWidth="1"/>
    <col min="10780" max="11008" width="9.09375" style="90"/>
    <col min="11009" max="11009" width="5.90625" style="90" customWidth="1"/>
    <col min="11010" max="11010" width="9" style="90" customWidth="1"/>
    <col min="11011" max="11011" width="6.90625" style="90" customWidth="1"/>
    <col min="11012" max="11012" width="9" style="90" customWidth="1"/>
    <col min="11013" max="11013" width="11" style="90" customWidth="1"/>
    <col min="11014" max="11014" width="4.90625" style="90" customWidth="1"/>
    <col min="11015" max="11015" width="9.09375" style="90" customWidth="1"/>
    <col min="11016" max="11016" width="11.6328125" style="90" customWidth="1"/>
    <col min="11017" max="11017" width="7.90625" style="90" customWidth="1"/>
    <col min="11018" max="11018" width="12.09375" style="90" customWidth="1"/>
    <col min="11019" max="11019" width="10.09375" style="90" customWidth="1"/>
    <col min="11020" max="11020" width="9.6328125" style="90" customWidth="1"/>
    <col min="11021" max="11021" width="12.6328125" style="90" customWidth="1"/>
    <col min="11022" max="11022" width="8" style="90" customWidth="1"/>
    <col min="11023" max="11023" width="12.09375" style="90" customWidth="1"/>
    <col min="11024" max="11024" width="9.546875" style="90" customWidth="1"/>
    <col min="11025" max="11025" width="10.09375" style="90" customWidth="1"/>
    <col min="11026" max="11026" width="8.09375" style="90" customWidth="1"/>
    <col min="11027" max="11027" width="8.453125" style="90" customWidth="1"/>
    <col min="11028" max="11028" width="9.09375" style="90" customWidth="1"/>
    <col min="11029" max="11029" width="6.90625" style="90" customWidth="1"/>
    <col min="11030" max="11030" width="11" style="90" customWidth="1"/>
    <col min="11031" max="11031" width="17" style="90" customWidth="1"/>
    <col min="11032" max="11032" width="21.453125" style="90" customWidth="1"/>
    <col min="11033" max="11033" width="15" style="90" customWidth="1"/>
    <col min="11034" max="11034" width="14.09375" style="90" customWidth="1"/>
    <col min="11035" max="11035" width="20.90625" style="90" customWidth="1"/>
    <col min="11036" max="11264" width="9.09375" style="90"/>
    <col min="11265" max="11265" width="5.90625" style="90" customWidth="1"/>
    <col min="11266" max="11266" width="9" style="90" customWidth="1"/>
    <col min="11267" max="11267" width="6.90625" style="90" customWidth="1"/>
    <col min="11268" max="11268" width="9" style="90" customWidth="1"/>
    <col min="11269" max="11269" width="11" style="90" customWidth="1"/>
    <col min="11270" max="11270" width="4.90625" style="90" customWidth="1"/>
    <col min="11271" max="11271" width="9.09375" style="90" customWidth="1"/>
    <col min="11272" max="11272" width="11.6328125" style="90" customWidth="1"/>
    <col min="11273" max="11273" width="7.90625" style="90" customWidth="1"/>
    <col min="11274" max="11274" width="12.09375" style="90" customWidth="1"/>
    <col min="11275" max="11275" width="10.09375" style="90" customWidth="1"/>
    <col min="11276" max="11276" width="9.6328125" style="90" customWidth="1"/>
    <col min="11277" max="11277" width="12.6328125" style="90" customWidth="1"/>
    <col min="11278" max="11278" width="8" style="90" customWidth="1"/>
    <col min="11279" max="11279" width="12.09375" style="90" customWidth="1"/>
    <col min="11280" max="11280" width="9.546875" style="90" customWidth="1"/>
    <col min="11281" max="11281" width="10.09375" style="90" customWidth="1"/>
    <col min="11282" max="11282" width="8.09375" style="90" customWidth="1"/>
    <col min="11283" max="11283" width="8.453125" style="90" customWidth="1"/>
    <col min="11284" max="11284" width="9.09375" style="90" customWidth="1"/>
    <col min="11285" max="11285" width="6.90625" style="90" customWidth="1"/>
    <col min="11286" max="11286" width="11" style="90" customWidth="1"/>
    <col min="11287" max="11287" width="17" style="90" customWidth="1"/>
    <col min="11288" max="11288" width="21.453125" style="90" customWidth="1"/>
    <col min="11289" max="11289" width="15" style="90" customWidth="1"/>
    <col min="11290" max="11290" width="14.09375" style="90" customWidth="1"/>
    <col min="11291" max="11291" width="20.90625" style="90" customWidth="1"/>
    <col min="11292" max="11520" width="9.09375" style="90"/>
    <col min="11521" max="11521" width="5.90625" style="90" customWidth="1"/>
    <col min="11522" max="11522" width="9" style="90" customWidth="1"/>
    <col min="11523" max="11523" width="6.90625" style="90" customWidth="1"/>
    <col min="11524" max="11524" width="9" style="90" customWidth="1"/>
    <col min="11525" max="11525" width="11" style="90" customWidth="1"/>
    <col min="11526" max="11526" width="4.90625" style="90" customWidth="1"/>
    <col min="11527" max="11527" width="9.09375" style="90" customWidth="1"/>
    <col min="11528" max="11528" width="11.6328125" style="90" customWidth="1"/>
    <col min="11529" max="11529" width="7.90625" style="90" customWidth="1"/>
    <col min="11530" max="11530" width="12.09375" style="90" customWidth="1"/>
    <col min="11531" max="11531" width="10.09375" style="90" customWidth="1"/>
    <col min="11532" max="11532" width="9.6328125" style="90" customWidth="1"/>
    <col min="11533" max="11533" width="12.6328125" style="90" customWidth="1"/>
    <col min="11534" max="11534" width="8" style="90" customWidth="1"/>
    <col min="11535" max="11535" width="12.09375" style="90" customWidth="1"/>
    <col min="11536" max="11536" width="9.546875" style="90" customWidth="1"/>
    <col min="11537" max="11537" width="10.09375" style="90" customWidth="1"/>
    <col min="11538" max="11538" width="8.09375" style="90" customWidth="1"/>
    <col min="11539" max="11539" width="8.453125" style="90" customWidth="1"/>
    <col min="11540" max="11540" width="9.09375" style="90" customWidth="1"/>
    <col min="11541" max="11541" width="6.90625" style="90" customWidth="1"/>
    <col min="11542" max="11542" width="11" style="90" customWidth="1"/>
    <col min="11543" max="11543" width="17" style="90" customWidth="1"/>
    <col min="11544" max="11544" width="21.453125" style="90" customWidth="1"/>
    <col min="11545" max="11545" width="15" style="90" customWidth="1"/>
    <col min="11546" max="11546" width="14.09375" style="90" customWidth="1"/>
    <col min="11547" max="11547" width="20.90625" style="90" customWidth="1"/>
    <col min="11548" max="11776" width="9.09375" style="90"/>
    <col min="11777" max="11777" width="5.90625" style="90" customWidth="1"/>
    <col min="11778" max="11778" width="9" style="90" customWidth="1"/>
    <col min="11779" max="11779" width="6.90625" style="90" customWidth="1"/>
    <col min="11780" max="11780" width="9" style="90" customWidth="1"/>
    <col min="11781" max="11781" width="11" style="90" customWidth="1"/>
    <col min="11782" max="11782" width="4.90625" style="90" customWidth="1"/>
    <col min="11783" max="11783" width="9.09375" style="90" customWidth="1"/>
    <col min="11784" max="11784" width="11.6328125" style="90" customWidth="1"/>
    <col min="11785" max="11785" width="7.90625" style="90" customWidth="1"/>
    <col min="11786" max="11786" width="12.09375" style="90" customWidth="1"/>
    <col min="11787" max="11787" width="10.09375" style="90" customWidth="1"/>
    <col min="11788" max="11788" width="9.6328125" style="90" customWidth="1"/>
    <col min="11789" max="11789" width="12.6328125" style="90" customWidth="1"/>
    <col min="11790" max="11790" width="8" style="90" customWidth="1"/>
    <col min="11791" max="11791" width="12.09375" style="90" customWidth="1"/>
    <col min="11792" max="11792" width="9.546875" style="90" customWidth="1"/>
    <col min="11793" max="11793" width="10.09375" style="90" customWidth="1"/>
    <col min="11794" max="11794" width="8.09375" style="90" customWidth="1"/>
    <col min="11795" max="11795" width="8.453125" style="90" customWidth="1"/>
    <col min="11796" max="11796" width="9.09375" style="90" customWidth="1"/>
    <col min="11797" max="11797" width="6.90625" style="90" customWidth="1"/>
    <col min="11798" max="11798" width="11" style="90" customWidth="1"/>
    <col min="11799" max="11799" width="17" style="90" customWidth="1"/>
    <col min="11800" max="11800" width="21.453125" style="90" customWidth="1"/>
    <col min="11801" max="11801" width="15" style="90" customWidth="1"/>
    <col min="11802" max="11802" width="14.09375" style="90" customWidth="1"/>
    <col min="11803" max="11803" width="20.90625" style="90" customWidth="1"/>
    <col min="11804" max="12032" width="9.09375" style="90"/>
    <col min="12033" max="12033" width="5.90625" style="90" customWidth="1"/>
    <col min="12034" max="12034" width="9" style="90" customWidth="1"/>
    <col min="12035" max="12035" width="6.90625" style="90" customWidth="1"/>
    <col min="12036" max="12036" width="9" style="90" customWidth="1"/>
    <col min="12037" max="12037" width="11" style="90" customWidth="1"/>
    <col min="12038" max="12038" width="4.90625" style="90" customWidth="1"/>
    <col min="12039" max="12039" width="9.09375" style="90" customWidth="1"/>
    <col min="12040" max="12040" width="11.6328125" style="90" customWidth="1"/>
    <col min="12041" max="12041" width="7.90625" style="90" customWidth="1"/>
    <col min="12042" max="12042" width="12.09375" style="90" customWidth="1"/>
    <col min="12043" max="12043" width="10.09375" style="90" customWidth="1"/>
    <col min="12044" max="12044" width="9.6328125" style="90" customWidth="1"/>
    <col min="12045" max="12045" width="12.6328125" style="90" customWidth="1"/>
    <col min="12046" max="12046" width="8" style="90" customWidth="1"/>
    <col min="12047" max="12047" width="12.09375" style="90" customWidth="1"/>
    <col min="12048" max="12048" width="9.546875" style="90" customWidth="1"/>
    <col min="12049" max="12049" width="10.09375" style="90" customWidth="1"/>
    <col min="12050" max="12050" width="8.09375" style="90" customWidth="1"/>
    <col min="12051" max="12051" width="8.453125" style="90" customWidth="1"/>
    <col min="12052" max="12052" width="9.09375" style="90" customWidth="1"/>
    <col min="12053" max="12053" width="6.90625" style="90" customWidth="1"/>
    <col min="12054" max="12054" width="11" style="90" customWidth="1"/>
    <col min="12055" max="12055" width="17" style="90" customWidth="1"/>
    <col min="12056" max="12056" width="21.453125" style="90" customWidth="1"/>
    <col min="12057" max="12057" width="15" style="90" customWidth="1"/>
    <col min="12058" max="12058" width="14.09375" style="90" customWidth="1"/>
    <col min="12059" max="12059" width="20.90625" style="90" customWidth="1"/>
    <col min="12060" max="12288" width="9.09375" style="90"/>
    <col min="12289" max="12289" width="5.90625" style="90" customWidth="1"/>
    <col min="12290" max="12290" width="9" style="90" customWidth="1"/>
    <col min="12291" max="12291" width="6.90625" style="90" customWidth="1"/>
    <col min="12292" max="12292" width="9" style="90" customWidth="1"/>
    <col min="12293" max="12293" width="11" style="90" customWidth="1"/>
    <col min="12294" max="12294" width="4.90625" style="90" customWidth="1"/>
    <col min="12295" max="12295" width="9.09375" style="90" customWidth="1"/>
    <col min="12296" max="12296" width="11.6328125" style="90" customWidth="1"/>
    <col min="12297" max="12297" width="7.90625" style="90" customWidth="1"/>
    <col min="12298" max="12298" width="12.09375" style="90" customWidth="1"/>
    <col min="12299" max="12299" width="10.09375" style="90" customWidth="1"/>
    <col min="12300" max="12300" width="9.6328125" style="90" customWidth="1"/>
    <col min="12301" max="12301" width="12.6328125" style="90" customWidth="1"/>
    <col min="12302" max="12302" width="8" style="90" customWidth="1"/>
    <col min="12303" max="12303" width="12.09375" style="90" customWidth="1"/>
    <col min="12304" max="12304" width="9.546875" style="90" customWidth="1"/>
    <col min="12305" max="12305" width="10.09375" style="90" customWidth="1"/>
    <col min="12306" max="12306" width="8.09375" style="90" customWidth="1"/>
    <col min="12307" max="12307" width="8.453125" style="90" customWidth="1"/>
    <col min="12308" max="12308" width="9.09375" style="90" customWidth="1"/>
    <col min="12309" max="12309" width="6.90625" style="90" customWidth="1"/>
    <col min="12310" max="12310" width="11" style="90" customWidth="1"/>
    <col min="12311" max="12311" width="17" style="90" customWidth="1"/>
    <col min="12312" max="12312" width="21.453125" style="90" customWidth="1"/>
    <col min="12313" max="12313" width="15" style="90" customWidth="1"/>
    <col min="12314" max="12314" width="14.09375" style="90" customWidth="1"/>
    <col min="12315" max="12315" width="20.90625" style="90" customWidth="1"/>
    <col min="12316" max="12544" width="9.09375" style="90"/>
    <col min="12545" max="12545" width="5.90625" style="90" customWidth="1"/>
    <col min="12546" max="12546" width="9" style="90" customWidth="1"/>
    <col min="12547" max="12547" width="6.90625" style="90" customWidth="1"/>
    <col min="12548" max="12548" width="9" style="90" customWidth="1"/>
    <col min="12549" max="12549" width="11" style="90" customWidth="1"/>
    <col min="12550" max="12550" width="4.90625" style="90" customWidth="1"/>
    <col min="12551" max="12551" width="9.09375" style="90" customWidth="1"/>
    <col min="12552" max="12552" width="11.6328125" style="90" customWidth="1"/>
    <col min="12553" max="12553" width="7.90625" style="90" customWidth="1"/>
    <col min="12554" max="12554" width="12.09375" style="90" customWidth="1"/>
    <col min="12555" max="12555" width="10.09375" style="90" customWidth="1"/>
    <col min="12556" max="12556" width="9.6328125" style="90" customWidth="1"/>
    <col min="12557" max="12557" width="12.6328125" style="90" customWidth="1"/>
    <col min="12558" max="12558" width="8" style="90" customWidth="1"/>
    <col min="12559" max="12559" width="12.09375" style="90" customWidth="1"/>
    <col min="12560" max="12560" width="9.546875" style="90" customWidth="1"/>
    <col min="12561" max="12561" width="10.09375" style="90" customWidth="1"/>
    <col min="12562" max="12562" width="8.09375" style="90" customWidth="1"/>
    <col min="12563" max="12563" width="8.453125" style="90" customWidth="1"/>
    <col min="12564" max="12564" width="9.09375" style="90" customWidth="1"/>
    <col min="12565" max="12565" width="6.90625" style="90" customWidth="1"/>
    <col min="12566" max="12566" width="11" style="90" customWidth="1"/>
    <col min="12567" max="12567" width="17" style="90" customWidth="1"/>
    <col min="12568" max="12568" width="21.453125" style="90" customWidth="1"/>
    <col min="12569" max="12569" width="15" style="90" customWidth="1"/>
    <col min="12570" max="12570" width="14.09375" style="90" customWidth="1"/>
    <col min="12571" max="12571" width="20.90625" style="90" customWidth="1"/>
    <col min="12572" max="12800" width="9.09375" style="90"/>
    <col min="12801" max="12801" width="5.90625" style="90" customWidth="1"/>
    <col min="12802" max="12802" width="9" style="90" customWidth="1"/>
    <col min="12803" max="12803" width="6.90625" style="90" customWidth="1"/>
    <col min="12804" max="12804" width="9" style="90" customWidth="1"/>
    <col min="12805" max="12805" width="11" style="90" customWidth="1"/>
    <col min="12806" max="12806" width="4.90625" style="90" customWidth="1"/>
    <col min="12807" max="12807" width="9.09375" style="90" customWidth="1"/>
    <col min="12808" max="12808" width="11.6328125" style="90" customWidth="1"/>
    <col min="12809" max="12809" width="7.90625" style="90" customWidth="1"/>
    <col min="12810" max="12810" width="12.09375" style="90" customWidth="1"/>
    <col min="12811" max="12811" width="10.09375" style="90" customWidth="1"/>
    <col min="12812" max="12812" width="9.6328125" style="90" customWidth="1"/>
    <col min="12813" max="12813" width="12.6328125" style="90" customWidth="1"/>
    <col min="12814" max="12814" width="8" style="90" customWidth="1"/>
    <col min="12815" max="12815" width="12.09375" style="90" customWidth="1"/>
    <col min="12816" max="12816" width="9.546875" style="90" customWidth="1"/>
    <col min="12817" max="12817" width="10.09375" style="90" customWidth="1"/>
    <col min="12818" max="12818" width="8.09375" style="90" customWidth="1"/>
    <col min="12819" max="12819" width="8.453125" style="90" customWidth="1"/>
    <col min="12820" max="12820" width="9.09375" style="90" customWidth="1"/>
    <col min="12821" max="12821" width="6.90625" style="90" customWidth="1"/>
    <col min="12822" max="12822" width="11" style="90" customWidth="1"/>
    <col min="12823" max="12823" width="17" style="90" customWidth="1"/>
    <col min="12824" max="12824" width="21.453125" style="90" customWidth="1"/>
    <col min="12825" max="12825" width="15" style="90" customWidth="1"/>
    <col min="12826" max="12826" width="14.09375" style="90" customWidth="1"/>
    <col min="12827" max="12827" width="20.90625" style="90" customWidth="1"/>
    <col min="12828" max="13056" width="9.09375" style="90"/>
    <col min="13057" max="13057" width="5.90625" style="90" customWidth="1"/>
    <col min="13058" max="13058" width="9" style="90" customWidth="1"/>
    <col min="13059" max="13059" width="6.90625" style="90" customWidth="1"/>
    <col min="13060" max="13060" width="9" style="90" customWidth="1"/>
    <col min="13061" max="13061" width="11" style="90" customWidth="1"/>
    <col min="13062" max="13062" width="4.90625" style="90" customWidth="1"/>
    <col min="13063" max="13063" width="9.09375" style="90" customWidth="1"/>
    <col min="13064" max="13064" width="11.6328125" style="90" customWidth="1"/>
    <col min="13065" max="13065" width="7.90625" style="90" customWidth="1"/>
    <col min="13066" max="13066" width="12.09375" style="90" customWidth="1"/>
    <col min="13067" max="13067" width="10.09375" style="90" customWidth="1"/>
    <col min="13068" max="13068" width="9.6328125" style="90" customWidth="1"/>
    <col min="13069" max="13069" width="12.6328125" style="90" customWidth="1"/>
    <col min="13070" max="13070" width="8" style="90" customWidth="1"/>
    <col min="13071" max="13071" width="12.09375" style="90" customWidth="1"/>
    <col min="13072" max="13072" width="9.546875" style="90" customWidth="1"/>
    <col min="13073" max="13073" width="10.09375" style="90" customWidth="1"/>
    <col min="13074" max="13074" width="8.09375" style="90" customWidth="1"/>
    <col min="13075" max="13075" width="8.453125" style="90" customWidth="1"/>
    <col min="13076" max="13076" width="9.09375" style="90" customWidth="1"/>
    <col min="13077" max="13077" width="6.90625" style="90" customWidth="1"/>
    <col min="13078" max="13078" width="11" style="90" customWidth="1"/>
    <col min="13079" max="13079" width="17" style="90" customWidth="1"/>
    <col min="13080" max="13080" width="21.453125" style="90" customWidth="1"/>
    <col min="13081" max="13081" width="15" style="90" customWidth="1"/>
    <col min="13082" max="13082" width="14.09375" style="90" customWidth="1"/>
    <col min="13083" max="13083" width="20.90625" style="90" customWidth="1"/>
    <col min="13084" max="13312" width="9.09375" style="90"/>
    <col min="13313" max="13313" width="5.90625" style="90" customWidth="1"/>
    <col min="13314" max="13314" width="9" style="90" customWidth="1"/>
    <col min="13315" max="13315" width="6.90625" style="90" customWidth="1"/>
    <col min="13316" max="13316" width="9" style="90" customWidth="1"/>
    <col min="13317" max="13317" width="11" style="90" customWidth="1"/>
    <col min="13318" max="13318" width="4.90625" style="90" customWidth="1"/>
    <col min="13319" max="13319" width="9.09375" style="90" customWidth="1"/>
    <col min="13320" max="13320" width="11.6328125" style="90" customWidth="1"/>
    <col min="13321" max="13321" width="7.90625" style="90" customWidth="1"/>
    <col min="13322" max="13322" width="12.09375" style="90" customWidth="1"/>
    <col min="13323" max="13323" width="10.09375" style="90" customWidth="1"/>
    <col min="13324" max="13324" width="9.6328125" style="90" customWidth="1"/>
    <col min="13325" max="13325" width="12.6328125" style="90" customWidth="1"/>
    <col min="13326" max="13326" width="8" style="90" customWidth="1"/>
    <col min="13327" max="13327" width="12.09375" style="90" customWidth="1"/>
    <col min="13328" max="13328" width="9.546875" style="90" customWidth="1"/>
    <col min="13329" max="13329" width="10.09375" style="90" customWidth="1"/>
    <col min="13330" max="13330" width="8.09375" style="90" customWidth="1"/>
    <col min="13331" max="13331" width="8.453125" style="90" customWidth="1"/>
    <col min="13332" max="13332" width="9.09375" style="90" customWidth="1"/>
    <col min="13333" max="13333" width="6.90625" style="90" customWidth="1"/>
    <col min="13334" max="13334" width="11" style="90" customWidth="1"/>
    <col min="13335" max="13335" width="17" style="90" customWidth="1"/>
    <col min="13336" max="13336" width="21.453125" style="90" customWidth="1"/>
    <col min="13337" max="13337" width="15" style="90" customWidth="1"/>
    <col min="13338" max="13338" width="14.09375" style="90" customWidth="1"/>
    <col min="13339" max="13339" width="20.90625" style="90" customWidth="1"/>
    <col min="13340" max="13568" width="9.09375" style="90"/>
    <col min="13569" max="13569" width="5.90625" style="90" customWidth="1"/>
    <col min="13570" max="13570" width="9" style="90" customWidth="1"/>
    <col min="13571" max="13571" width="6.90625" style="90" customWidth="1"/>
    <col min="13572" max="13572" width="9" style="90" customWidth="1"/>
    <col min="13573" max="13573" width="11" style="90" customWidth="1"/>
    <col min="13574" max="13574" width="4.90625" style="90" customWidth="1"/>
    <col min="13575" max="13575" width="9.09375" style="90" customWidth="1"/>
    <col min="13576" max="13576" width="11.6328125" style="90" customWidth="1"/>
    <col min="13577" max="13577" width="7.90625" style="90" customWidth="1"/>
    <col min="13578" max="13578" width="12.09375" style="90" customWidth="1"/>
    <col min="13579" max="13579" width="10.09375" style="90" customWidth="1"/>
    <col min="13580" max="13580" width="9.6328125" style="90" customWidth="1"/>
    <col min="13581" max="13581" width="12.6328125" style="90" customWidth="1"/>
    <col min="13582" max="13582" width="8" style="90" customWidth="1"/>
    <col min="13583" max="13583" width="12.09375" style="90" customWidth="1"/>
    <col min="13584" max="13584" width="9.546875" style="90" customWidth="1"/>
    <col min="13585" max="13585" width="10.09375" style="90" customWidth="1"/>
    <col min="13586" max="13586" width="8.09375" style="90" customWidth="1"/>
    <col min="13587" max="13587" width="8.453125" style="90" customWidth="1"/>
    <col min="13588" max="13588" width="9.09375" style="90" customWidth="1"/>
    <col min="13589" max="13589" width="6.90625" style="90" customWidth="1"/>
    <col min="13590" max="13590" width="11" style="90" customWidth="1"/>
    <col min="13591" max="13591" width="17" style="90" customWidth="1"/>
    <col min="13592" max="13592" width="21.453125" style="90" customWidth="1"/>
    <col min="13593" max="13593" width="15" style="90" customWidth="1"/>
    <col min="13594" max="13594" width="14.09375" style="90" customWidth="1"/>
    <col min="13595" max="13595" width="20.90625" style="90" customWidth="1"/>
    <col min="13596" max="13824" width="9.09375" style="90"/>
    <col min="13825" max="13825" width="5.90625" style="90" customWidth="1"/>
    <col min="13826" max="13826" width="9" style="90" customWidth="1"/>
    <col min="13827" max="13827" width="6.90625" style="90" customWidth="1"/>
    <col min="13828" max="13828" width="9" style="90" customWidth="1"/>
    <col min="13829" max="13829" width="11" style="90" customWidth="1"/>
    <col min="13830" max="13830" width="4.90625" style="90" customWidth="1"/>
    <col min="13831" max="13831" width="9.09375" style="90" customWidth="1"/>
    <col min="13832" max="13832" width="11.6328125" style="90" customWidth="1"/>
    <col min="13833" max="13833" width="7.90625" style="90" customWidth="1"/>
    <col min="13834" max="13834" width="12.09375" style="90" customWidth="1"/>
    <col min="13835" max="13835" width="10.09375" style="90" customWidth="1"/>
    <col min="13836" max="13836" width="9.6328125" style="90" customWidth="1"/>
    <col min="13837" max="13837" width="12.6328125" style="90" customWidth="1"/>
    <col min="13838" max="13838" width="8" style="90" customWidth="1"/>
    <col min="13839" max="13839" width="12.09375" style="90" customWidth="1"/>
    <col min="13840" max="13840" width="9.546875" style="90" customWidth="1"/>
    <col min="13841" max="13841" width="10.09375" style="90" customWidth="1"/>
    <col min="13842" max="13842" width="8.09375" style="90" customWidth="1"/>
    <col min="13843" max="13843" width="8.453125" style="90" customWidth="1"/>
    <col min="13844" max="13844" width="9.09375" style="90" customWidth="1"/>
    <col min="13845" max="13845" width="6.90625" style="90" customWidth="1"/>
    <col min="13846" max="13846" width="11" style="90" customWidth="1"/>
    <col min="13847" max="13847" width="17" style="90" customWidth="1"/>
    <col min="13848" max="13848" width="21.453125" style="90" customWidth="1"/>
    <col min="13849" max="13849" width="15" style="90" customWidth="1"/>
    <col min="13850" max="13850" width="14.09375" style="90" customWidth="1"/>
    <col min="13851" max="13851" width="20.90625" style="90" customWidth="1"/>
    <col min="13852" max="14080" width="9.09375" style="90"/>
    <col min="14081" max="14081" width="5.90625" style="90" customWidth="1"/>
    <col min="14082" max="14082" width="9" style="90" customWidth="1"/>
    <col min="14083" max="14083" width="6.90625" style="90" customWidth="1"/>
    <col min="14084" max="14084" width="9" style="90" customWidth="1"/>
    <col min="14085" max="14085" width="11" style="90" customWidth="1"/>
    <col min="14086" max="14086" width="4.90625" style="90" customWidth="1"/>
    <col min="14087" max="14087" width="9.09375" style="90" customWidth="1"/>
    <col min="14088" max="14088" width="11.6328125" style="90" customWidth="1"/>
    <col min="14089" max="14089" width="7.90625" style="90" customWidth="1"/>
    <col min="14090" max="14090" width="12.09375" style="90" customWidth="1"/>
    <col min="14091" max="14091" width="10.09375" style="90" customWidth="1"/>
    <col min="14092" max="14092" width="9.6328125" style="90" customWidth="1"/>
    <col min="14093" max="14093" width="12.6328125" style="90" customWidth="1"/>
    <col min="14094" max="14094" width="8" style="90" customWidth="1"/>
    <col min="14095" max="14095" width="12.09375" style="90" customWidth="1"/>
    <col min="14096" max="14096" width="9.546875" style="90" customWidth="1"/>
    <col min="14097" max="14097" width="10.09375" style="90" customWidth="1"/>
    <col min="14098" max="14098" width="8.09375" style="90" customWidth="1"/>
    <col min="14099" max="14099" width="8.453125" style="90" customWidth="1"/>
    <col min="14100" max="14100" width="9.09375" style="90" customWidth="1"/>
    <col min="14101" max="14101" width="6.90625" style="90" customWidth="1"/>
    <col min="14102" max="14102" width="11" style="90" customWidth="1"/>
    <col min="14103" max="14103" width="17" style="90" customWidth="1"/>
    <col min="14104" max="14104" width="21.453125" style="90" customWidth="1"/>
    <col min="14105" max="14105" width="15" style="90" customWidth="1"/>
    <col min="14106" max="14106" width="14.09375" style="90" customWidth="1"/>
    <col min="14107" max="14107" width="20.90625" style="90" customWidth="1"/>
    <col min="14108" max="14336" width="9.09375" style="90"/>
    <col min="14337" max="14337" width="5.90625" style="90" customWidth="1"/>
    <col min="14338" max="14338" width="9" style="90" customWidth="1"/>
    <col min="14339" max="14339" width="6.90625" style="90" customWidth="1"/>
    <col min="14340" max="14340" width="9" style="90" customWidth="1"/>
    <col min="14341" max="14341" width="11" style="90" customWidth="1"/>
    <col min="14342" max="14342" width="4.90625" style="90" customWidth="1"/>
    <col min="14343" max="14343" width="9.09375" style="90" customWidth="1"/>
    <col min="14344" max="14344" width="11.6328125" style="90" customWidth="1"/>
    <col min="14345" max="14345" width="7.90625" style="90" customWidth="1"/>
    <col min="14346" max="14346" width="12.09375" style="90" customWidth="1"/>
    <col min="14347" max="14347" width="10.09375" style="90" customWidth="1"/>
    <col min="14348" max="14348" width="9.6328125" style="90" customWidth="1"/>
    <col min="14349" max="14349" width="12.6328125" style="90" customWidth="1"/>
    <col min="14350" max="14350" width="8" style="90" customWidth="1"/>
    <col min="14351" max="14351" width="12.09375" style="90" customWidth="1"/>
    <col min="14352" max="14352" width="9.546875" style="90" customWidth="1"/>
    <col min="14353" max="14353" width="10.09375" style="90" customWidth="1"/>
    <col min="14354" max="14354" width="8.09375" style="90" customWidth="1"/>
    <col min="14355" max="14355" width="8.453125" style="90" customWidth="1"/>
    <col min="14356" max="14356" width="9.09375" style="90" customWidth="1"/>
    <col min="14357" max="14357" width="6.90625" style="90" customWidth="1"/>
    <col min="14358" max="14358" width="11" style="90" customWidth="1"/>
    <col min="14359" max="14359" width="17" style="90" customWidth="1"/>
    <col min="14360" max="14360" width="21.453125" style="90" customWidth="1"/>
    <col min="14361" max="14361" width="15" style="90" customWidth="1"/>
    <col min="14362" max="14362" width="14.09375" style="90" customWidth="1"/>
    <col min="14363" max="14363" width="20.90625" style="90" customWidth="1"/>
    <col min="14364" max="14592" width="9.09375" style="90"/>
    <col min="14593" max="14593" width="5.90625" style="90" customWidth="1"/>
    <col min="14594" max="14594" width="9" style="90" customWidth="1"/>
    <col min="14595" max="14595" width="6.90625" style="90" customWidth="1"/>
    <col min="14596" max="14596" width="9" style="90" customWidth="1"/>
    <col min="14597" max="14597" width="11" style="90" customWidth="1"/>
    <col min="14598" max="14598" width="4.90625" style="90" customWidth="1"/>
    <col min="14599" max="14599" width="9.09375" style="90" customWidth="1"/>
    <col min="14600" max="14600" width="11.6328125" style="90" customWidth="1"/>
    <col min="14601" max="14601" width="7.90625" style="90" customWidth="1"/>
    <col min="14602" max="14602" width="12.09375" style="90" customWidth="1"/>
    <col min="14603" max="14603" width="10.09375" style="90" customWidth="1"/>
    <col min="14604" max="14604" width="9.6328125" style="90" customWidth="1"/>
    <col min="14605" max="14605" width="12.6328125" style="90" customWidth="1"/>
    <col min="14606" max="14606" width="8" style="90" customWidth="1"/>
    <col min="14607" max="14607" width="12.09375" style="90" customWidth="1"/>
    <col min="14608" max="14608" width="9.546875" style="90" customWidth="1"/>
    <col min="14609" max="14609" width="10.09375" style="90" customWidth="1"/>
    <col min="14610" max="14610" width="8.09375" style="90" customWidth="1"/>
    <col min="14611" max="14611" width="8.453125" style="90" customWidth="1"/>
    <col min="14612" max="14612" width="9.09375" style="90" customWidth="1"/>
    <col min="14613" max="14613" width="6.90625" style="90" customWidth="1"/>
    <col min="14614" max="14614" width="11" style="90" customWidth="1"/>
    <col min="14615" max="14615" width="17" style="90" customWidth="1"/>
    <col min="14616" max="14616" width="21.453125" style="90" customWidth="1"/>
    <col min="14617" max="14617" width="15" style="90" customWidth="1"/>
    <col min="14618" max="14618" width="14.09375" style="90" customWidth="1"/>
    <col min="14619" max="14619" width="20.90625" style="90" customWidth="1"/>
    <col min="14620" max="14848" width="9.09375" style="90"/>
    <col min="14849" max="14849" width="5.90625" style="90" customWidth="1"/>
    <col min="14850" max="14850" width="9" style="90" customWidth="1"/>
    <col min="14851" max="14851" width="6.90625" style="90" customWidth="1"/>
    <col min="14852" max="14852" width="9" style="90" customWidth="1"/>
    <col min="14853" max="14853" width="11" style="90" customWidth="1"/>
    <col min="14854" max="14854" width="4.90625" style="90" customWidth="1"/>
    <col min="14855" max="14855" width="9.09375" style="90" customWidth="1"/>
    <col min="14856" max="14856" width="11.6328125" style="90" customWidth="1"/>
    <col min="14857" max="14857" width="7.90625" style="90" customWidth="1"/>
    <col min="14858" max="14858" width="12.09375" style="90" customWidth="1"/>
    <col min="14859" max="14859" width="10.09375" style="90" customWidth="1"/>
    <col min="14860" max="14860" width="9.6328125" style="90" customWidth="1"/>
    <col min="14861" max="14861" width="12.6328125" style="90" customWidth="1"/>
    <col min="14862" max="14862" width="8" style="90" customWidth="1"/>
    <col min="14863" max="14863" width="12.09375" style="90" customWidth="1"/>
    <col min="14864" max="14864" width="9.546875" style="90" customWidth="1"/>
    <col min="14865" max="14865" width="10.09375" style="90" customWidth="1"/>
    <col min="14866" max="14866" width="8.09375" style="90" customWidth="1"/>
    <col min="14867" max="14867" width="8.453125" style="90" customWidth="1"/>
    <col min="14868" max="14868" width="9.09375" style="90" customWidth="1"/>
    <col min="14869" max="14869" width="6.90625" style="90" customWidth="1"/>
    <col min="14870" max="14870" width="11" style="90" customWidth="1"/>
    <col min="14871" max="14871" width="17" style="90" customWidth="1"/>
    <col min="14872" max="14872" width="21.453125" style="90" customWidth="1"/>
    <col min="14873" max="14873" width="15" style="90" customWidth="1"/>
    <col min="14874" max="14874" width="14.09375" style="90" customWidth="1"/>
    <col min="14875" max="14875" width="20.90625" style="90" customWidth="1"/>
    <col min="14876" max="15104" width="9.09375" style="90"/>
    <col min="15105" max="15105" width="5.90625" style="90" customWidth="1"/>
    <col min="15106" max="15106" width="9" style="90" customWidth="1"/>
    <col min="15107" max="15107" width="6.90625" style="90" customWidth="1"/>
    <col min="15108" max="15108" width="9" style="90" customWidth="1"/>
    <col min="15109" max="15109" width="11" style="90" customWidth="1"/>
    <col min="15110" max="15110" width="4.90625" style="90" customWidth="1"/>
    <col min="15111" max="15111" width="9.09375" style="90" customWidth="1"/>
    <col min="15112" max="15112" width="11.6328125" style="90" customWidth="1"/>
    <col min="15113" max="15113" width="7.90625" style="90" customWidth="1"/>
    <col min="15114" max="15114" width="12.09375" style="90" customWidth="1"/>
    <col min="15115" max="15115" width="10.09375" style="90" customWidth="1"/>
    <col min="15116" max="15116" width="9.6328125" style="90" customWidth="1"/>
    <col min="15117" max="15117" width="12.6328125" style="90" customWidth="1"/>
    <col min="15118" max="15118" width="8" style="90" customWidth="1"/>
    <col min="15119" max="15119" width="12.09375" style="90" customWidth="1"/>
    <col min="15120" max="15120" width="9.546875" style="90" customWidth="1"/>
    <col min="15121" max="15121" width="10.09375" style="90" customWidth="1"/>
    <col min="15122" max="15122" width="8.09375" style="90" customWidth="1"/>
    <col min="15123" max="15123" width="8.453125" style="90" customWidth="1"/>
    <col min="15124" max="15124" width="9.09375" style="90" customWidth="1"/>
    <col min="15125" max="15125" width="6.90625" style="90" customWidth="1"/>
    <col min="15126" max="15126" width="11" style="90" customWidth="1"/>
    <col min="15127" max="15127" width="17" style="90" customWidth="1"/>
    <col min="15128" max="15128" width="21.453125" style="90" customWidth="1"/>
    <col min="15129" max="15129" width="15" style="90" customWidth="1"/>
    <col min="15130" max="15130" width="14.09375" style="90" customWidth="1"/>
    <col min="15131" max="15131" width="20.90625" style="90" customWidth="1"/>
    <col min="15132" max="15360" width="9.09375" style="90"/>
    <col min="15361" max="15361" width="5.90625" style="90" customWidth="1"/>
    <col min="15362" max="15362" width="9" style="90" customWidth="1"/>
    <col min="15363" max="15363" width="6.90625" style="90" customWidth="1"/>
    <col min="15364" max="15364" width="9" style="90" customWidth="1"/>
    <col min="15365" max="15365" width="11" style="90" customWidth="1"/>
    <col min="15366" max="15366" width="4.90625" style="90" customWidth="1"/>
    <col min="15367" max="15367" width="9.09375" style="90" customWidth="1"/>
    <col min="15368" max="15368" width="11.6328125" style="90" customWidth="1"/>
    <col min="15369" max="15369" width="7.90625" style="90" customWidth="1"/>
    <col min="15370" max="15370" width="12.09375" style="90" customWidth="1"/>
    <col min="15371" max="15371" width="10.09375" style="90" customWidth="1"/>
    <col min="15372" max="15372" width="9.6328125" style="90" customWidth="1"/>
    <col min="15373" max="15373" width="12.6328125" style="90" customWidth="1"/>
    <col min="15374" max="15374" width="8" style="90" customWidth="1"/>
    <col min="15375" max="15375" width="12.09375" style="90" customWidth="1"/>
    <col min="15376" max="15376" width="9.546875" style="90" customWidth="1"/>
    <col min="15377" max="15377" width="10.09375" style="90" customWidth="1"/>
    <col min="15378" max="15378" width="8.09375" style="90" customWidth="1"/>
    <col min="15379" max="15379" width="8.453125" style="90" customWidth="1"/>
    <col min="15380" max="15380" width="9.09375" style="90" customWidth="1"/>
    <col min="15381" max="15381" width="6.90625" style="90" customWidth="1"/>
    <col min="15382" max="15382" width="11" style="90" customWidth="1"/>
    <col min="15383" max="15383" width="17" style="90" customWidth="1"/>
    <col min="15384" max="15384" width="21.453125" style="90" customWidth="1"/>
    <col min="15385" max="15385" width="15" style="90" customWidth="1"/>
    <col min="15386" max="15386" width="14.09375" style="90" customWidth="1"/>
    <col min="15387" max="15387" width="20.90625" style="90" customWidth="1"/>
    <col min="15388" max="15616" width="9.09375" style="90"/>
    <col min="15617" max="15617" width="5.90625" style="90" customWidth="1"/>
    <col min="15618" max="15618" width="9" style="90" customWidth="1"/>
    <col min="15619" max="15619" width="6.90625" style="90" customWidth="1"/>
    <col min="15620" max="15620" width="9" style="90" customWidth="1"/>
    <col min="15621" max="15621" width="11" style="90" customWidth="1"/>
    <col min="15622" max="15622" width="4.90625" style="90" customWidth="1"/>
    <col min="15623" max="15623" width="9.09375" style="90" customWidth="1"/>
    <col min="15624" max="15624" width="11.6328125" style="90" customWidth="1"/>
    <col min="15625" max="15625" width="7.90625" style="90" customWidth="1"/>
    <col min="15626" max="15626" width="12.09375" style="90" customWidth="1"/>
    <col min="15627" max="15627" width="10.09375" style="90" customWidth="1"/>
    <col min="15628" max="15628" width="9.6328125" style="90" customWidth="1"/>
    <col min="15629" max="15629" width="12.6328125" style="90" customWidth="1"/>
    <col min="15630" max="15630" width="8" style="90" customWidth="1"/>
    <col min="15631" max="15631" width="12.09375" style="90" customWidth="1"/>
    <col min="15632" max="15632" width="9.546875" style="90" customWidth="1"/>
    <col min="15633" max="15633" width="10.09375" style="90" customWidth="1"/>
    <col min="15634" max="15634" width="8.09375" style="90" customWidth="1"/>
    <col min="15635" max="15635" width="8.453125" style="90" customWidth="1"/>
    <col min="15636" max="15636" width="9.09375" style="90" customWidth="1"/>
    <col min="15637" max="15637" width="6.90625" style="90" customWidth="1"/>
    <col min="15638" max="15638" width="11" style="90" customWidth="1"/>
    <col min="15639" max="15639" width="17" style="90" customWidth="1"/>
    <col min="15640" max="15640" width="21.453125" style="90" customWidth="1"/>
    <col min="15641" max="15641" width="15" style="90" customWidth="1"/>
    <col min="15642" max="15642" width="14.09375" style="90" customWidth="1"/>
    <col min="15643" max="15643" width="20.90625" style="90" customWidth="1"/>
    <col min="15644" max="15872" width="9.09375" style="90"/>
    <col min="15873" max="15873" width="5.90625" style="90" customWidth="1"/>
    <col min="15874" max="15874" width="9" style="90" customWidth="1"/>
    <col min="15875" max="15875" width="6.90625" style="90" customWidth="1"/>
    <col min="15876" max="15876" width="9" style="90" customWidth="1"/>
    <col min="15877" max="15877" width="11" style="90" customWidth="1"/>
    <col min="15878" max="15878" width="4.90625" style="90" customWidth="1"/>
    <col min="15879" max="15879" width="9.09375" style="90" customWidth="1"/>
    <col min="15880" max="15880" width="11.6328125" style="90" customWidth="1"/>
    <col min="15881" max="15881" width="7.90625" style="90" customWidth="1"/>
    <col min="15882" max="15882" width="12.09375" style="90" customWidth="1"/>
    <col min="15883" max="15883" width="10.09375" style="90" customWidth="1"/>
    <col min="15884" max="15884" width="9.6328125" style="90" customWidth="1"/>
    <col min="15885" max="15885" width="12.6328125" style="90" customWidth="1"/>
    <col min="15886" max="15886" width="8" style="90" customWidth="1"/>
    <col min="15887" max="15887" width="12.09375" style="90" customWidth="1"/>
    <col min="15888" max="15888" width="9.546875" style="90" customWidth="1"/>
    <col min="15889" max="15889" width="10.09375" style="90" customWidth="1"/>
    <col min="15890" max="15890" width="8.09375" style="90" customWidth="1"/>
    <col min="15891" max="15891" width="8.453125" style="90" customWidth="1"/>
    <col min="15892" max="15892" width="9.09375" style="90" customWidth="1"/>
    <col min="15893" max="15893" width="6.90625" style="90" customWidth="1"/>
    <col min="15894" max="15894" width="11" style="90" customWidth="1"/>
    <col min="15895" max="15895" width="17" style="90" customWidth="1"/>
    <col min="15896" max="15896" width="21.453125" style="90" customWidth="1"/>
    <col min="15897" max="15897" width="15" style="90" customWidth="1"/>
    <col min="15898" max="15898" width="14.09375" style="90" customWidth="1"/>
    <col min="15899" max="15899" width="20.90625" style="90" customWidth="1"/>
    <col min="15900" max="16128" width="9.09375" style="90"/>
    <col min="16129" max="16129" width="5.90625" style="90" customWidth="1"/>
    <col min="16130" max="16130" width="9" style="90" customWidth="1"/>
    <col min="16131" max="16131" width="6.90625" style="90" customWidth="1"/>
    <col min="16132" max="16132" width="9" style="90" customWidth="1"/>
    <col min="16133" max="16133" width="11" style="90" customWidth="1"/>
    <col min="16134" max="16134" width="4.90625" style="90" customWidth="1"/>
    <col min="16135" max="16135" width="9.09375" style="90" customWidth="1"/>
    <col min="16136" max="16136" width="11.6328125" style="90" customWidth="1"/>
    <col min="16137" max="16137" width="7.90625" style="90" customWidth="1"/>
    <col min="16138" max="16138" width="12.09375" style="90" customWidth="1"/>
    <col min="16139" max="16139" width="10.09375" style="90" customWidth="1"/>
    <col min="16140" max="16140" width="9.6328125" style="90" customWidth="1"/>
    <col min="16141" max="16141" width="12.6328125" style="90" customWidth="1"/>
    <col min="16142" max="16142" width="8" style="90" customWidth="1"/>
    <col min="16143" max="16143" width="12.09375" style="90" customWidth="1"/>
    <col min="16144" max="16144" width="9.546875" style="90" customWidth="1"/>
    <col min="16145" max="16145" width="10.09375" style="90" customWidth="1"/>
    <col min="16146" max="16146" width="8.09375" style="90" customWidth="1"/>
    <col min="16147" max="16147" width="8.453125" style="90" customWidth="1"/>
    <col min="16148" max="16148" width="9.09375" style="90" customWidth="1"/>
    <col min="16149" max="16149" width="6.90625" style="90" customWidth="1"/>
    <col min="16150" max="16150" width="11" style="90" customWidth="1"/>
    <col min="16151" max="16151" width="17" style="90" customWidth="1"/>
    <col min="16152" max="16152" width="21.453125" style="90" customWidth="1"/>
    <col min="16153" max="16153" width="15" style="90" customWidth="1"/>
    <col min="16154" max="16154" width="14.09375" style="90" customWidth="1"/>
    <col min="16155" max="16155" width="20.90625" style="90" customWidth="1"/>
    <col min="16156" max="16384" width="9.09375" style="90"/>
  </cols>
  <sheetData>
    <row r="1" customFormat="1" spans="1:27">
      <c r="A1" s="1" t="s">
        <v>231</v>
      </c>
      <c r="B1" s="2" t="s">
        <v>232</v>
      </c>
      <c r="C1" s="3" t="s">
        <v>233</v>
      </c>
      <c r="D1" s="4" t="s">
        <v>234</v>
      </c>
      <c r="E1" s="4" t="s">
        <v>235</v>
      </c>
      <c r="F1" s="3" t="s">
        <v>236</v>
      </c>
      <c r="G1" s="3" t="s">
        <v>237</v>
      </c>
      <c r="H1" s="4" t="s">
        <v>238</v>
      </c>
      <c r="I1" s="3" t="s">
        <v>239</v>
      </c>
      <c r="J1" s="3" t="s">
        <v>240</v>
      </c>
      <c r="K1" s="4" t="s">
        <v>241</v>
      </c>
      <c r="L1" s="4" t="s">
        <v>242</v>
      </c>
      <c r="M1" s="9" t="s">
        <v>243</v>
      </c>
      <c r="N1" s="92" t="s">
        <v>244</v>
      </c>
      <c r="O1" s="92" t="s">
        <v>245</v>
      </c>
      <c r="P1" s="9" t="s">
        <v>246</v>
      </c>
      <c r="Q1" s="9" t="s">
        <v>247</v>
      </c>
      <c r="R1" s="9" t="s">
        <v>248</v>
      </c>
      <c r="S1" s="2" t="s">
        <v>249</v>
      </c>
      <c r="T1" s="9" t="s">
        <v>250</v>
      </c>
      <c r="U1" s="9" t="s">
        <v>251</v>
      </c>
      <c r="V1" s="9" t="s">
        <v>252</v>
      </c>
      <c r="W1" s="92" t="s">
        <v>253</v>
      </c>
      <c r="X1" s="92" t="s">
        <v>254</v>
      </c>
      <c r="Y1" s="9" t="s">
        <v>255</v>
      </c>
      <c r="Z1" s="16" t="s">
        <v>256</v>
      </c>
      <c r="AA1" s="16" t="s">
        <v>257</v>
      </c>
    </row>
    <row r="2" customFormat="1" spans="1:27">
      <c r="A2" s="1">
        <v>1</v>
      </c>
      <c r="B2" s="5" t="s">
        <v>258</v>
      </c>
      <c r="C2" s="91">
        <f>+'PT ABC'!G$5</f>
        <v>7008750</v>
      </c>
      <c r="D2" s="5">
        <v>1000</v>
      </c>
      <c r="E2" s="5">
        <v>302</v>
      </c>
      <c r="F2" s="91">
        <f>+'PT ABC'!M$5</f>
        <v>0</v>
      </c>
      <c r="G2" s="7"/>
      <c r="H2" s="8" t="s">
        <v>259</v>
      </c>
      <c r="I2" s="1"/>
      <c r="J2" s="1" t="s">
        <v>260</v>
      </c>
      <c r="K2" s="10">
        <v>417772</v>
      </c>
      <c r="L2" s="10"/>
      <c r="M2" s="93" t="str">
        <f t="shared" ref="M2:M12" si="0">F2&amp;"VM2021"</f>
        <v>0VM2021</v>
      </c>
      <c r="N2" s="11"/>
      <c r="O2" s="11"/>
      <c r="P2" s="12"/>
      <c r="Q2" s="1"/>
      <c r="R2" s="13"/>
      <c r="S2" s="14" t="s">
        <v>261</v>
      </c>
      <c r="T2" s="91">
        <f>+PIVOT!B5</f>
        <v>720001707</v>
      </c>
      <c r="U2" s="94" t="str">
        <f>+PIVOT!D5</f>
        <v>Festive</v>
      </c>
      <c r="V2" s="95">
        <f>+PIVOT!C5</f>
        <v>40</v>
      </c>
      <c r="W2" s="12"/>
      <c r="X2" s="12"/>
      <c r="Y2" s="96" t="str">
        <f>+PIVOT!A5</f>
        <v>FE21/OCT/WINW</v>
      </c>
      <c r="Z2" s="93" t="str">
        <f>+PIVOT!D5</f>
        <v>Festive</v>
      </c>
      <c r="AA2" s="93">
        <f>+PIVOT!E5</f>
        <v>0</v>
      </c>
    </row>
    <row r="3" spans="1:27">
      <c r="A3" s="1">
        <v>1</v>
      </c>
      <c r="B3" s="5" t="s">
        <v>258</v>
      </c>
      <c r="C3" s="91">
        <f>+'PT ABC'!G$5</f>
        <v>7008750</v>
      </c>
      <c r="D3" s="5">
        <v>1000</v>
      </c>
      <c r="E3" s="5">
        <v>302</v>
      </c>
      <c r="F3" s="91">
        <f>+'PT ABC'!M$5</f>
        <v>0</v>
      </c>
      <c r="G3" s="7"/>
      <c r="H3" s="8" t="s">
        <v>259</v>
      </c>
      <c r="I3" s="1"/>
      <c r="J3" s="1" t="s">
        <v>260</v>
      </c>
      <c r="K3" s="10">
        <v>417772</v>
      </c>
      <c r="L3" s="10"/>
      <c r="M3" s="93" t="str">
        <f t="shared" si="0"/>
        <v>0VM2021</v>
      </c>
      <c r="N3" s="11"/>
      <c r="O3" s="11"/>
      <c r="P3" s="12"/>
      <c r="Q3" s="1"/>
      <c r="R3" s="13"/>
      <c r="S3" s="14" t="s">
        <v>261</v>
      </c>
      <c r="T3" s="91">
        <f>+PIVOT!B6</f>
        <v>720001737</v>
      </c>
      <c r="U3" s="94" t="str">
        <f>+PIVOT!D6</f>
        <v>Festive</v>
      </c>
      <c r="V3" s="95">
        <f>+PIVOT!C6</f>
        <v>15</v>
      </c>
      <c r="W3" s="12"/>
      <c r="X3" s="12"/>
      <c r="Y3" s="96">
        <f>+PIVOT!A6</f>
        <v>0</v>
      </c>
      <c r="Z3" s="93" t="str">
        <f>+PIVOT!D6</f>
        <v>Festive</v>
      </c>
      <c r="AA3" s="93">
        <f>+PIVOT!E6</f>
        <v>0</v>
      </c>
    </row>
    <row r="4" spans="1:27">
      <c r="A4" s="1">
        <v>1</v>
      </c>
      <c r="B4" s="5" t="s">
        <v>258</v>
      </c>
      <c r="C4" s="91">
        <f>+'PT ABC'!G$5</f>
        <v>7008750</v>
      </c>
      <c r="D4" s="5">
        <v>1000</v>
      </c>
      <c r="E4" s="5">
        <v>302</v>
      </c>
      <c r="F4" s="91">
        <f>+'PT ABC'!M$5</f>
        <v>0</v>
      </c>
      <c r="G4" s="7"/>
      <c r="H4" s="8" t="s">
        <v>259</v>
      </c>
      <c r="I4" s="1"/>
      <c r="J4" s="1" t="s">
        <v>260</v>
      </c>
      <c r="K4" s="10">
        <v>417772</v>
      </c>
      <c r="L4" s="10"/>
      <c r="M4" s="93" t="str">
        <f t="shared" si="0"/>
        <v>0VM2021</v>
      </c>
      <c r="N4" s="11"/>
      <c r="O4" s="11"/>
      <c r="P4" s="12"/>
      <c r="Q4" s="1"/>
      <c r="R4" s="13"/>
      <c r="S4" s="14" t="s">
        <v>261</v>
      </c>
      <c r="T4" s="91">
        <f>+PIVOT!B7</f>
        <v>720001997</v>
      </c>
      <c r="U4" s="94" t="str">
        <f>+PIVOT!D7</f>
        <v>Festive</v>
      </c>
      <c r="V4" s="95">
        <f>+PIVOT!C7</f>
        <v>25</v>
      </c>
      <c r="W4" s="12"/>
      <c r="X4" s="12"/>
      <c r="Y4" s="96">
        <f>+PIVOT!A7</f>
        <v>0</v>
      </c>
      <c r="Z4" s="93" t="str">
        <f>+PIVOT!D7</f>
        <v>Festive</v>
      </c>
      <c r="AA4" s="93">
        <f>+PIVOT!E7</f>
        <v>0</v>
      </c>
    </row>
    <row r="5" spans="1:27">
      <c r="A5" s="1">
        <v>1</v>
      </c>
      <c r="B5" s="5" t="s">
        <v>258</v>
      </c>
      <c r="C5" s="91">
        <f>+'PT ABC'!G$5</f>
        <v>7008750</v>
      </c>
      <c r="D5" s="5">
        <v>1000</v>
      </c>
      <c r="E5" s="5">
        <v>302</v>
      </c>
      <c r="F5" s="91">
        <f>+'PT ABC'!M$5</f>
        <v>0</v>
      </c>
      <c r="G5" s="7"/>
      <c r="H5" s="8" t="s">
        <v>259</v>
      </c>
      <c r="I5" s="1"/>
      <c r="J5" s="1" t="s">
        <v>260</v>
      </c>
      <c r="K5" s="10">
        <v>417772</v>
      </c>
      <c r="L5" s="10"/>
      <c r="M5" s="93" t="str">
        <f t="shared" si="0"/>
        <v>0VM2021</v>
      </c>
      <c r="N5" s="11"/>
      <c r="O5" s="11"/>
      <c r="P5" s="12"/>
      <c r="Q5" s="1"/>
      <c r="R5" s="13"/>
      <c r="S5" s="14" t="s">
        <v>261</v>
      </c>
      <c r="T5" s="91">
        <f>+PIVOT!B8</f>
        <v>720002029</v>
      </c>
      <c r="U5" s="94" t="str">
        <f>+PIVOT!D8</f>
        <v>Festive</v>
      </c>
      <c r="V5" s="95">
        <f>+PIVOT!C8</f>
        <v>25</v>
      </c>
      <c r="W5" s="12"/>
      <c r="X5" s="12"/>
      <c r="Y5" s="96">
        <f>+PIVOT!A8</f>
        <v>0</v>
      </c>
      <c r="Z5" s="93" t="str">
        <f>+PIVOT!D8</f>
        <v>Festive</v>
      </c>
      <c r="AA5" s="93">
        <f>+PIVOT!E8</f>
        <v>0</v>
      </c>
    </row>
    <row r="6" spans="1:27">
      <c r="A6" s="1">
        <v>1</v>
      </c>
      <c r="B6" s="5" t="s">
        <v>258</v>
      </c>
      <c r="C6" s="91">
        <f>+'PT ABC'!G$5</f>
        <v>7008750</v>
      </c>
      <c r="D6" s="5">
        <v>1000</v>
      </c>
      <c r="E6" s="5">
        <v>302</v>
      </c>
      <c r="F6" s="91">
        <f>+'PT ABC'!M$5</f>
        <v>0</v>
      </c>
      <c r="G6" s="7"/>
      <c r="H6" s="8" t="s">
        <v>259</v>
      </c>
      <c r="I6" s="1"/>
      <c r="J6" s="1" t="s">
        <v>260</v>
      </c>
      <c r="K6" s="10">
        <v>417772</v>
      </c>
      <c r="L6" s="10"/>
      <c r="M6" s="93" t="str">
        <f t="shared" si="0"/>
        <v>0VM2021</v>
      </c>
      <c r="N6" s="11"/>
      <c r="O6" s="11"/>
      <c r="P6" s="12"/>
      <c r="Q6" s="1"/>
      <c r="R6" s="13"/>
      <c r="S6" s="14" t="s">
        <v>261</v>
      </c>
      <c r="T6" s="91">
        <f>+PIVOT!B9</f>
        <v>720002125</v>
      </c>
      <c r="U6" s="94" t="str">
        <f>+PIVOT!D9</f>
        <v>Festive</v>
      </c>
      <c r="V6" s="95">
        <f>+PIVOT!C9</f>
        <v>5</v>
      </c>
      <c r="W6" s="12"/>
      <c r="X6" s="12"/>
      <c r="Y6" s="96">
        <f>+PIVOT!A9</f>
        <v>0</v>
      </c>
      <c r="Z6" s="93" t="str">
        <f>+PIVOT!D9</f>
        <v>Festive</v>
      </c>
      <c r="AA6" s="93">
        <f>+PIVOT!E9</f>
        <v>0</v>
      </c>
    </row>
    <row r="7" spans="1:27">
      <c r="A7" s="1">
        <v>1</v>
      </c>
      <c r="B7" s="5" t="s">
        <v>258</v>
      </c>
      <c r="C7" s="91">
        <f>+'PT ABC'!G$5</f>
        <v>7008750</v>
      </c>
      <c r="D7" s="5">
        <v>1000</v>
      </c>
      <c r="E7" s="5">
        <v>302</v>
      </c>
      <c r="F7" s="91">
        <f>+'PT ABC'!M$5</f>
        <v>0</v>
      </c>
      <c r="G7" s="7"/>
      <c r="H7" s="8" t="s">
        <v>259</v>
      </c>
      <c r="I7" s="1"/>
      <c r="J7" s="1" t="s">
        <v>260</v>
      </c>
      <c r="K7" s="10">
        <v>417772</v>
      </c>
      <c r="L7" s="10"/>
      <c r="M7" s="93" t="str">
        <f t="shared" si="0"/>
        <v>0VM2021</v>
      </c>
      <c r="N7" s="11"/>
      <c r="O7" s="11"/>
      <c r="P7" s="12"/>
      <c r="Q7" s="1"/>
      <c r="R7" s="13"/>
      <c r="S7" s="14" t="s">
        <v>261</v>
      </c>
      <c r="T7" s="91">
        <f>+PIVOT!B10</f>
        <v>720002000</v>
      </c>
      <c r="U7" s="94" t="str">
        <f>+PIVOT!D10</f>
        <v>Festive</v>
      </c>
      <c r="V7" s="95">
        <f>+PIVOT!C10</f>
        <v>58</v>
      </c>
      <c r="W7" s="12"/>
      <c r="X7" s="12"/>
      <c r="Y7" s="96">
        <f>+PIVOT!A10</f>
        <v>0</v>
      </c>
      <c r="Z7" s="93" t="str">
        <f>+PIVOT!D10</f>
        <v>Festive</v>
      </c>
      <c r="AA7" s="93">
        <f>+PIVOT!E10</f>
        <v>0</v>
      </c>
    </row>
    <row r="8" spans="1:27">
      <c r="A8" s="1">
        <v>1</v>
      </c>
      <c r="B8" s="5" t="s">
        <v>258</v>
      </c>
      <c r="C8" s="91">
        <f>+'PT ABC'!G$5</f>
        <v>7008750</v>
      </c>
      <c r="D8" s="5">
        <v>1000</v>
      </c>
      <c r="E8" s="5">
        <v>302</v>
      </c>
      <c r="F8" s="91">
        <f>+'PT ABC'!M$5</f>
        <v>0</v>
      </c>
      <c r="G8" s="7"/>
      <c r="H8" s="8" t="s">
        <v>259</v>
      </c>
      <c r="I8" s="1"/>
      <c r="J8" s="1" t="s">
        <v>260</v>
      </c>
      <c r="K8" s="10">
        <v>417772</v>
      </c>
      <c r="L8" s="10"/>
      <c r="M8" s="93" t="str">
        <f t="shared" si="0"/>
        <v>0VM2021</v>
      </c>
      <c r="N8" s="11"/>
      <c r="O8" s="11"/>
      <c r="P8" s="12"/>
      <c r="Q8" s="1"/>
      <c r="R8" s="13"/>
      <c r="S8" s="14" t="s">
        <v>261</v>
      </c>
      <c r="T8" s="91">
        <f>+PIVOT!B11</f>
        <v>720001567</v>
      </c>
      <c r="U8" s="94" t="str">
        <f>+PIVOT!D11</f>
        <v>Festive</v>
      </c>
      <c r="V8" s="95">
        <f>+PIVOT!C11</f>
        <v>60</v>
      </c>
      <c r="W8" s="12"/>
      <c r="X8" s="12"/>
      <c r="Y8" s="96">
        <f>+PIVOT!A11</f>
        <v>0</v>
      </c>
      <c r="Z8" s="93" t="str">
        <f>+PIVOT!D11</f>
        <v>Festive</v>
      </c>
      <c r="AA8" s="93">
        <f>+PIVOT!E11</f>
        <v>0</v>
      </c>
    </row>
    <row r="9" spans="1:27">
      <c r="A9" s="1">
        <v>1</v>
      </c>
      <c r="B9" s="5" t="s">
        <v>258</v>
      </c>
      <c r="C9" s="91">
        <f>+'PT ABC'!G$5</f>
        <v>7008750</v>
      </c>
      <c r="D9" s="5">
        <v>1000</v>
      </c>
      <c r="E9" s="5">
        <v>302</v>
      </c>
      <c r="F9" s="91">
        <f>+'PT ABC'!M$5</f>
        <v>0</v>
      </c>
      <c r="G9" s="7"/>
      <c r="H9" s="8" t="s">
        <v>259</v>
      </c>
      <c r="I9" s="1"/>
      <c r="J9" s="1" t="s">
        <v>260</v>
      </c>
      <c r="K9" s="10">
        <v>417772</v>
      </c>
      <c r="L9" s="10"/>
      <c r="M9" s="93" t="str">
        <f t="shared" si="0"/>
        <v>0VM2021</v>
      </c>
      <c r="N9" s="11"/>
      <c r="O9" s="11"/>
      <c r="P9" s="12"/>
      <c r="Q9" s="1"/>
      <c r="R9" s="13"/>
      <c r="S9" s="14" t="s">
        <v>261</v>
      </c>
      <c r="T9" s="91">
        <f>+PIVOT!B12</f>
        <v>720001999</v>
      </c>
      <c r="U9" s="94" t="str">
        <f>+PIVOT!D12</f>
        <v>Festive</v>
      </c>
      <c r="V9" s="95">
        <f>+PIVOT!C12</f>
        <v>49</v>
      </c>
      <c r="W9" s="12"/>
      <c r="X9" s="12"/>
      <c r="Y9" s="96">
        <f>+PIVOT!A12</f>
        <v>0</v>
      </c>
      <c r="Z9" s="93" t="str">
        <f>+PIVOT!D12</f>
        <v>Festive</v>
      </c>
      <c r="AA9" s="93">
        <f>+PIVOT!E12</f>
        <v>0</v>
      </c>
    </row>
    <row r="10" spans="1:27">
      <c r="A10" s="1">
        <v>1</v>
      </c>
      <c r="B10" s="5" t="s">
        <v>258</v>
      </c>
      <c r="C10" s="91">
        <f>+'PT ABC'!G$5</f>
        <v>7008750</v>
      </c>
      <c r="D10" s="5">
        <v>1000</v>
      </c>
      <c r="E10" s="5">
        <v>302</v>
      </c>
      <c r="F10" s="91">
        <f>+'PT ABC'!M$5</f>
        <v>0</v>
      </c>
      <c r="G10" s="7"/>
      <c r="H10" s="8" t="s">
        <v>259</v>
      </c>
      <c r="I10" s="1"/>
      <c r="J10" s="1" t="s">
        <v>260</v>
      </c>
      <c r="K10" s="10">
        <v>417772</v>
      </c>
      <c r="L10" s="10"/>
      <c r="M10" s="93" t="str">
        <f t="shared" si="0"/>
        <v>0VM2021</v>
      </c>
      <c r="N10" s="11"/>
      <c r="O10" s="11"/>
      <c r="P10" s="12"/>
      <c r="Q10" s="1"/>
      <c r="R10" s="13"/>
      <c r="S10" s="14" t="s">
        <v>261</v>
      </c>
      <c r="T10" s="91">
        <f>+PIVOT!B13</f>
        <v>720002125</v>
      </c>
      <c r="U10" s="94" t="str">
        <f>+PIVOT!D13</f>
        <v>Festive</v>
      </c>
      <c r="V10" s="95">
        <f>+PIVOT!C13</f>
        <v>5</v>
      </c>
      <c r="W10" s="12"/>
      <c r="X10" s="12"/>
      <c r="Y10" s="96" t="str">
        <f>+PIVOT!A13</f>
        <v>FE21/OCT/WIN</v>
      </c>
      <c r="Z10" s="93" t="str">
        <f>+PIVOT!D13</f>
        <v>Festive</v>
      </c>
      <c r="AA10" s="93">
        <f>+PIVOT!E13</f>
        <v>0</v>
      </c>
    </row>
    <row r="11" spans="1:27">
      <c r="A11" s="1">
        <v>1</v>
      </c>
      <c r="B11" s="5" t="s">
        <v>258</v>
      </c>
      <c r="C11" s="91">
        <f>+'PT ABC'!G$5</f>
        <v>7008750</v>
      </c>
      <c r="D11" s="5">
        <v>1000</v>
      </c>
      <c r="E11" s="5">
        <v>302</v>
      </c>
      <c r="F11" s="91">
        <f>+'PT ABC'!M$5</f>
        <v>0</v>
      </c>
      <c r="G11" s="7"/>
      <c r="H11" s="8" t="s">
        <v>259</v>
      </c>
      <c r="I11" s="1"/>
      <c r="J11" s="1" t="s">
        <v>260</v>
      </c>
      <c r="K11" s="10">
        <v>417772</v>
      </c>
      <c r="L11" s="10"/>
      <c r="M11" s="93" t="str">
        <f t="shared" si="0"/>
        <v>0VM2021</v>
      </c>
      <c r="N11" s="11"/>
      <c r="O11" s="11"/>
      <c r="P11" s="12"/>
      <c r="Q11" s="1"/>
      <c r="R11" s="13"/>
      <c r="S11" s="14" t="s">
        <v>261</v>
      </c>
      <c r="T11" s="91">
        <f>+PIVOT!B14</f>
        <v>720001567</v>
      </c>
      <c r="U11" s="94" t="str">
        <f>+PIVOT!D14</f>
        <v>Festive</v>
      </c>
      <c r="V11" s="95">
        <f>+PIVOT!C14</f>
        <v>60</v>
      </c>
      <c r="W11" s="12"/>
      <c r="X11" s="12"/>
      <c r="Y11" s="96">
        <f>+PIVOT!A14</f>
        <v>0</v>
      </c>
      <c r="Z11" s="93" t="str">
        <f>+PIVOT!D14</f>
        <v>Festive</v>
      </c>
      <c r="AA11" s="93">
        <f>+PIVOT!E14</f>
        <v>0</v>
      </c>
    </row>
    <row r="12" spans="1:27">
      <c r="A12" s="1">
        <v>1</v>
      </c>
      <c r="B12" s="5" t="s">
        <v>258</v>
      </c>
      <c r="C12" s="91">
        <f>+'PT ABC'!G$5</f>
        <v>7008750</v>
      </c>
      <c r="D12" s="5">
        <v>1000</v>
      </c>
      <c r="E12" s="5">
        <v>302</v>
      </c>
      <c r="F12" s="91">
        <f>+'PT ABC'!M$5</f>
        <v>0</v>
      </c>
      <c r="G12" s="7"/>
      <c r="H12" s="8" t="s">
        <v>259</v>
      </c>
      <c r="I12" s="1"/>
      <c r="J12" s="1" t="s">
        <v>260</v>
      </c>
      <c r="K12" s="10">
        <v>417772</v>
      </c>
      <c r="L12" s="10"/>
      <c r="M12" s="93" t="str">
        <f t="shared" si="0"/>
        <v>0VM2021</v>
      </c>
      <c r="N12" s="11"/>
      <c r="O12" s="11"/>
      <c r="P12" s="12"/>
      <c r="Q12" s="1"/>
      <c r="R12" s="13"/>
      <c r="S12" s="14" t="s">
        <v>261</v>
      </c>
      <c r="T12" s="91">
        <f>+PIVOT!B15</f>
        <v>720002035</v>
      </c>
      <c r="U12" s="94" t="str">
        <f>+PIVOT!D15</f>
        <v>Festive</v>
      </c>
      <c r="V12" s="95" t="str">
        <f>+PIVOT!C15</f>
        <v>(blank)</v>
      </c>
      <c r="W12" s="12"/>
      <c r="X12" s="12"/>
      <c r="Y12" s="96">
        <f>+PIVOT!A15</f>
        <v>0</v>
      </c>
      <c r="Z12" s="93" t="str">
        <f>+PIVOT!D15</f>
        <v>Festive</v>
      </c>
      <c r="AA12" s="93">
        <f>+PIVOT!E15</f>
        <v>0</v>
      </c>
    </row>
    <row r="13" spans="1:27">
      <c r="A13" s="1">
        <v>1</v>
      </c>
      <c r="B13" s="5" t="s">
        <v>258</v>
      </c>
      <c r="C13" s="91">
        <f>+'PT ABC'!G$5</f>
        <v>7008750</v>
      </c>
      <c r="D13" s="5">
        <v>1000</v>
      </c>
      <c r="E13" s="5">
        <v>302</v>
      </c>
      <c r="F13" s="91">
        <f>+'PT ABC'!M$5</f>
        <v>0</v>
      </c>
      <c r="G13" s="7"/>
      <c r="H13" s="8" t="s">
        <v>259</v>
      </c>
      <c r="I13" s="1"/>
      <c r="J13" s="1" t="s">
        <v>260</v>
      </c>
      <c r="K13" s="10">
        <v>417772</v>
      </c>
      <c r="L13" s="10"/>
      <c r="M13" s="93" t="str">
        <f t="shared" ref="M13:M33" si="1">F13&amp;"VM2021"</f>
        <v>0VM2021</v>
      </c>
      <c r="N13" s="11"/>
      <c r="O13" s="11"/>
      <c r="P13" s="12"/>
      <c r="Q13" s="1"/>
      <c r="R13" s="13"/>
      <c r="S13" s="14" t="s">
        <v>261</v>
      </c>
      <c r="T13" s="91" t="str">
        <f>+PIVOT!B16</f>
        <v>(blank)</v>
      </c>
      <c r="U13" s="94" t="str">
        <f>+PIVOT!D16</f>
        <v>Festive</v>
      </c>
      <c r="V13" s="95" t="str">
        <f>+PIVOT!C16</f>
        <v>(blank)</v>
      </c>
      <c r="W13" s="12"/>
      <c r="X13" s="12"/>
      <c r="Y13" s="96">
        <f>+PIVOT!A16</f>
        <v>0</v>
      </c>
      <c r="Z13" s="93" t="str">
        <f>+PIVOT!D16</f>
        <v>Festive</v>
      </c>
      <c r="AA13" s="93">
        <f>+PIVOT!E16</f>
        <v>0</v>
      </c>
    </row>
    <row r="14" spans="1:27">
      <c r="A14" s="1">
        <v>1</v>
      </c>
      <c r="B14" s="5" t="s">
        <v>258</v>
      </c>
      <c r="C14" s="91">
        <f>+'PT ABC'!G$5</f>
        <v>7008750</v>
      </c>
      <c r="D14" s="5">
        <v>1000</v>
      </c>
      <c r="E14" s="5">
        <v>302</v>
      </c>
      <c r="F14" s="91">
        <f>+'PT ABC'!M$5</f>
        <v>0</v>
      </c>
      <c r="G14" s="7"/>
      <c r="H14" s="8" t="s">
        <v>259</v>
      </c>
      <c r="I14" s="1"/>
      <c r="J14" s="1" t="s">
        <v>260</v>
      </c>
      <c r="K14" s="10">
        <v>417772</v>
      </c>
      <c r="L14" s="10"/>
      <c r="M14" s="93" t="str">
        <f t="shared" si="1"/>
        <v>0VM2021</v>
      </c>
      <c r="N14" s="11"/>
      <c r="O14" s="11"/>
      <c r="P14" s="12"/>
      <c r="Q14" s="1"/>
      <c r="R14" s="13"/>
      <c r="S14" s="14" t="s">
        <v>261</v>
      </c>
      <c r="T14" s="91">
        <f>+PIVOT!B17</f>
        <v>0</v>
      </c>
      <c r="U14" s="94">
        <f>+PIVOT!D17</f>
        <v>0</v>
      </c>
      <c r="V14" s="95">
        <f>+PIVOT!C17</f>
        <v>0</v>
      </c>
      <c r="W14" s="12"/>
      <c r="X14" s="12"/>
      <c r="Y14" s="96" t="str">
        <f>+PIVOT!A17</f>
        <v>Grand Total</v>
      </c>
      <c r="Z14" s="93">
        <f>+PIVOT!D17</f>
        <v>0</v>
      </c>
      <c r="AA14" s="93">
        <f>+PIVOT!E17</f>
        <v>0</v>
      </c>
    </row>
    <row r="15" spans="1:27">
      <c r="A15" s="1">
        <v>1</v>
      </c>
      <c r="B15" s="5" t="s">
        <v>258</v>
      </c>
      <c r="C15" s="91">
        <f>+'PT ABC'!G$5</f>
        <v>7008750</v>
      </c>
      <c r="D15" s="5">
        <v>1000</v>
      </c>
      <c r="E15" s="5">
        <v>302</v>
      </c>
      <c r="F15" s="91">
        <f>+'PT ABC'!M$5</f>
        <v>0</v>
      </c>
      <c r="G15" s="7"/>
      <c r="H15" s="8" t="s">
        <v>259</v>
      </c>
      <c r="I15" s="1"/>
      <c r="J15" s="1" t="s">
        <v>260</v>
      </c>
      <c r="K15" s="10">
        <v>417772</v>
      </c>
      <c r="L15" s="10"/>
      <c r="M15" s="93" t="str">
        <f t="shared" si="1"/>
        <v>0VM2021</v>
      </c>
      <c r="N15" s="11"/>
      <c r="O15" s="11"/>
      <c r="P15" s="12"/>
      <c r="Q15" s="1"/>
      <c r="R15" s="13"/>
      <c r="S15" s="14" t="s">
        <v>261</v>
      </c>
      <c r="T15" s="91">
        <f>+PIVOT!B18</f>
        <v>0</v>
      </c>
      <c r="U15" s="94">
        <f>+PIVOT!D18</f>
        <v>0</v>
      </c>
      <c r="V15" s="95">
        <f>+PIVOT!C18</f>
        <v>0</v>
      </c>
      <c r="W15" s="12"/>
      <c r="X15" s="12"/>
      <c r="Y15" s="96">
        <f>+PIVOT!A18</f>
        <v>0</v>
      </c>
      <c r="Z15" s="93">
        <f>+PIVOT!D18</f>
        <v>0</v>
      </c>
      <c r="AA15" s="93">
        <f>+PIVOT!E18</f>
        <v>0</v>
      </c>
    </row>
    <row r="16" spans="1:27">
      <c r="A16" s="1">
        <v>1</v>
      </c>
      <c r="B16" s="5" t="s">
        <v>258</v>
      </c>
      <c r="C16" s="91">
        <f>+'PT ABC'!G$5</f>
        <v>7008750</v>
      </c>
      <c r="D16" s="5">
        <v>1000</v>
      </c>
      <c r="E16" s="5">
        <v>302</v>
      </c>
      <c r="F16" s="91">
        <f>+'PT ABC'!M$5</f>
        <v>0</v>
      </c>
      <c r="G16" s="7"/>
      <c r="H16" s="8" t="s">
        <v>259</v>
      </c>
      <c r="I16" s="1"/>
      <c r="J16" s="1" t="s">
        <v>260</v>
      </c>
      <c r="K16" s="10">
        <v>417772</v>
      </c>
      <c r="L16" s="10"/>
      <c r="M16" s="93" t="str">
        <f t="shared" si="1"/>
        <v>0VM2021</v>
      </c>
      <c r="N16" s="11"/>
      <c r="O16" s="11"/>
      <c r="P16" s="12"/>
      <c r="Q16" s="1"/>
      <c r="R16" s="13"/>
      <c r="S16" s="14" t="s">
        <v>261</v>
      </c>
      <c r="T16" s="91">
        <f>+PIVOT!B19</f>
        <v>0</v>
      </c>
      <c r="U16" s="94">
        <f>+PIVOT!D19</f>
        <v>0</v>
      </c>
      <c r="V16" s="95">
        <f>+PIVOT!C19</f>
        <v>0</v>
      </c>
      <c r="W16" s="12"/>
      <c r="X16" s="12"/>
      <c r="Y16" s="96">
        <f>+PIVOT!A19</f>
        <v>0</v>
      </c>
      <c r="Z16" s="93">
        <f>+PIVOT!D19</f>
        <v>0</v>
      </c>
      <c r="AA16" s="93">
        <f>+PIVOT!E19</f>
        <v>0</v>
      </c>
    </row>
    <row r="17" spans="1:27">
      <c r="A17" s="1">
        <v>1</v>
      </c>
      <c r="B17" s="5" t="s">
        <v>258</v>
      </c>
      <c r="C17" s="91">
        <f>+'PT ABC'!G$5</f>
        <v>7008750</v>
      </c>
      <c r="D17" s="5">
        <v>1000</v>
      </c>
      <c r="E17" s="5">
        <v>302</v>
      </c>
      <c r="F17" s="91">
        <f>+'PT ABC'!M$5</f>
        <v>0</v>
      </c>
      <c r="G17" s="7"/>
      <c r="H17" s="8" t="s">
        <v>259</v>
      </c>
      <c r="I17" s="1"/>
      <c r="J17" s="1" t="s">
        <v>260</v>
      </c>
      <c r="K17" s="10">
        <v>417772</v>
      </c>
      <c r="L17" s="10"/>
      <c r="M17" s="93" t="str">
        <f t="shared" si="1"/>
        <v>0VM2021</v>
      </c>
      <c r="N17" s="11"/>
      <c r="O17" s="11"/>
      <c r="P17" s="12"/>
      <c r="Q17" s="1"/>
      <c r="R17" s="13"/>
      <c r="S17" s="14" t="s">
        <v>261</v>
      </c>
      <c r="T17" s="91">
        <f>+PIVOT!B20</f>
        <v>0</v>
      </c>
      <c r="U17" s="94">
        <f>+PIVOT!D20</f>
        <v>0</v>
      </c>
      <c r="V17" s="95">
        <f>+PIVOT!C20</f>
        <v>0</v>
      </c>
      <c r="W17" s="12"/>
      <c r="X17" s="12"/>
      <c r="Y17" s="96">
        <f>+PIVOT!A20</f>
        <v>0</v>
      </c>
      <c r="Z17" s="93">
        <f>+PIVOT!D20</f>
        <v>0</v>
      </c>
      <c r="AA17" s="93">
        <f>+PIVOT!E20</f>
        <v>0</v>
      </c>
    </row>
    <row r="18" spans="1:27">
      <c r="A18" s="1">
        <v>1</v>
      </c>
      <c r="B18" s="5" t="s">
        <v>258</v>
      </c>
      <c r="C18" s="91">
        <f>+'PT ABC'!G$5</f>
        <v>7008750</v>
      </c>
      <c r="D18" s="5">
        <v>1000</v>
      </c>
      <c r="E18" s="5">
        <v>302</v>
      </c>
      <c r="F18" s="91">
        <f>+'PT ABC'!M$5</f>
        <v>0</v>
      </c>
      <c r="G18" s="7"/>
      <c r="H18" s="8" t="s">
        <v>259</v>
      </c>
      <c r="I18" s="1"/>
      <c r="J18" s="1" t="s">
        <v>260</v>
      </c>
      <c r="K18" s="10">
        <v>417772</v>
      </c>
      <c r="L18" s="10"/>
      <c r="M18" s="93" t="str">
        <f t="shared" si="1"/>
        <v>0VM2021</v>
      </c>
      <c r="N18" s="11"/>
      <c r="O18" s="11"/>
      <c r="P18" s="12"/>
      <c r="Q18" s="1"/>
      <c r="R18" s="13"/>
      <c r="S18" s="14" t="s">
        <v>261</v>
      </c>
      <c r="T18" s="91">
        <f>+PIVOT!B21</f>
        <v>0</v>
      </c>
      <c r="U18" s="94">
        <f>+PIVOT!D21</f>
        <v>0</v>
      </c>
      <c r="V18" s="95">
        <f>+PIVOT!C21</f>
        <v>0</v>
      </c>
      <c r="W18" s="12"/>
      <c r="X18" s="12"/>
      <c r="Y18" s="96">
        <f>+PIVOT!A21</f>
        <v>0</v>
      </c>
      <c r="Z18" s="93">
        <f>+PIVOT!D21</f>
        <v>0</v>
      </c>
      <c r="AA18" s="93">
        <f>+PIVOT!E21</f>
        <v>0</v>
      </c>
    </row>
    <row r="19" spans="1:27">
      <c r="A19" s="1">
        <v>1</v>
      </c>
      <c r="B19" s="5" t="s">
        <v>258</v>
      </c>
      <c r="C19" s="91">
        <f>+'PT ABC'!G$5</f>
        <v>7008750</v>
      </c>
      <c r="D19" s="5">
        <v>1000</v>
      </c>
      <c r="E19" s="5">
        <v>302</v>
      </c>
      <c r="F19" s="91">
        <f>+'PT ABC'!M$5</f>
        <v>0</v>
      </c>
      <c r="G19" s="7"/>
      <c r="H19" s="8" t="s">
        <v>259</v>
      </c>
      <c r="I19" s="1"/>
      <c r="J19" s="1" t="s">
        <v>260</v>
      </c>
      <c r="K19" s="10">
        <v>417772</v>
      </c>
      <c r="L19" s="10"/>
      <c r="M19" s="93" t="str">
        <f t="shared" si="1"/>
        <v>0VM2021</v>
      </c>
      <c r="N19" s="11"/>
      <c r="O19" s="11"/>
      <c r="P19" s="12"/>
      <c r="Q19" s="1"/>
      <c r="R19" s="13"/>
      <c r="S19" s="14" t="s">
        <v>261</v>
      </c>
      <c r="T19" s="91">
        <f>+PIVOT!B22</f>
        <v>0</v>
      </c>
      <c r="U19" s="94">
        <f>+PIVOT!D22</f>
        <v>0</v>
      </c>
      <c r="V19" s="95">
        <f>+PIVOT!C22</f>
        <v>0</v>
      </c>
      <c r="W19" s="12"/>
      <c r="X19" s="12"/>
      <c r="Y19" s="96">
        <f>+PIVOT!A22</f>
        <v>0</v>
      </c>
      <c r="Z19" s="93">
        <f>+PIVOT!D22</f>
        <v>0</v>
      </c>
      <c r="AA19" s="93">
        <f>+PIVOT!E22</f>
        <v>0</v>
      </c>
    </row>
    <row r="20" spans="1:27">
      <c r="A20" s="1">
        <v>1</v>
      </c>
      <c r="B20" s="5" t="s">
        <v>258</v>
      </c>
      <c r="C20" s="91">
        <f>+'PT ABC'!G$5</f>
        <v>7008750</v>
      </c>
      <c r="D20" s="5">
        <v>1000</v>
      </c>
      <c r="E20" s="5">
        <v>302</v>
      </c>
      <c r="F20" s="91">
        <f>+'PT ABC'!M$5</f>
        <v>0</v>
      </c>
      <c r="G20" s="7"/>
      <c r="H20" s="8" t="s">
        <v>259</v>
      </c>
      <c r="I20" s="1"/>
      <c r="J20" s="1" t="s">
        <v>260</v>
      </c>
      <c r="K20" s="10">
        <v>417772</v>
      </c>
      <c r="L20" s="10"/>
      <c r="M20" s="93" t="str">
        <f t="shared" si="1"/>
        <v>0VM2021</v>
      </c>
      <c r="N20" s="11"/>
      <c r="O20" s="11"/>
      <c r="P20" s="12"/>
      <c r="Q20" s="1"/>
      <c r="R20" s="13"/>
      <c r="S20" s="14" t="s">
        <v>261</v>
      </c>
      <c r="T20" s="91">
        <f>+PIVOT!B23</f>
        <v>0</v>
      </c>
      <c r="U20" s="94">
        <f>+PIVOT!D23</f>
        <v>0</v>
      </c>
      <c r="V20" s="95">
        <f>+PIVOT!C23</f>
        <v>0</v>
      </c>
      <c r="W20" s="12"/>
      <c r="X20" s="12"/>
      <c r="Y20" s="96">
        <f>+PIVOT!A23</f>
        <v>0</v>
      </c>
      <c r="Z20" s="93">
        <f>+PIVOT!D23</f>
        <v>0</v>
      </c>
      <c r="AA20" s="93">
        <f>+PIVOT!E23</f>
        <v>0</v>
      </c>
    </row>
    <row r="21" spans="1:27">
      <c r="A21" s="1">
        <v>1</v>
      </c>
      <c r="B21" s="5" t="s">
        <v>258</v>
      </c>
      <c r="C21" s="91">
        <f>+'PT ABC'!G$5</f>
        <v>7008750</v>
      </c>
      <c r="D21" s="5">
        <v>1000</v>
      </c>
      <c r="E21" s="5">
        <v>302</v>
      </c>
      <c r="F21" s="91">
        <f>+'PT ABC'!M$5</f>
        <v>0</v>
      </c>
      <c r="G21" s="7"/>
      <c r="H21" s="8" t="s">
        <v>259</v>
      </c>
      <c r="I21" s="1"/>
      <c r="J21" s="1" t="s">
        <v>260</v>
      </c>
      <c r="K21" s="10">
        <v>417772</v>
      </c>
      <c r="L21" s="10"/>
      <c r="M21" s="93" t="str">
        <f t="shared" si="1"/>
        <v>0VM2021</v>
      </c>
      <c r="N21" s="11"/>
      <c r="O21" s="11"/>
      <c r="P21" s="12"/>
      <c r="Q21" s="1"/>
      <c r="R21" s="13"/>
      <c r="S21" s="14" t="s">
        <v>261</v>
      </c>
      <c r="T21" s="91">
        <f>+PIVOT!B24</f>
        <v>0</v>
      </c>
      <c r="U21" s="94">
        <f>+PIVOT!D24</f>
        <v>0</v>
      </c>
      <c r="V21" s="95">
        <f>+PIVOT!C24</f>
        <v>0</v>
      </c>
      <c r="W21" s="12"/>
      <c r="X21" s="12"/>
      <c r="Y21" s="96">
        <f>+PIVOT!A24</f>
        <v>0</v>
      </c>
      <c r="Z21" s="93">
        <f>+PIVOT!D24</f>
        <v>0</v>
      </c>
      <c r="AA21" s="93">
        <f>+PIVOT!E24</f>
        <v>0</v>
      </c>
    </row>
    <row r="22" spans="1:27">
      <c r="A22" s="1">
        <v>1</v>
      </c>
      <c r="B22" s="5" t="s">
        <v>258</v>
      </c>
      <c r="C22" s="91">
        <f>+'PT ABC'!G$5</f>
        <v>7008750</v>
      </c>
      <c r="D22" s="5">
        <v>1000</v>
      </c>
      <c r="E22" s="5">
        <v>302</v>
      </c>
      <c r="F22" s="91">
        <f>+'PT ABC'!M$5</f>
        <v>0</v>
      </c>
      <c r="G22" s="7"/>
      <c r="H22" s="8" t="s">
        <v>259</v>
      </c>
      <c r="I22" s="1"/>
      <c r="J22" s="1" t="s">
        <v>260</v>
      </c>
      <c r="K22" s="10">
        <v>417772</v>
      </c>
      <c r="L22" s="10"/>
      <c r="M22" s="93" t="str">
        <f t="shared" si="1"/>
        <v>0VM2021</v>
      </c>
      <c r="N22" s="11"/>
      <c r="O22" s="11"/>
      <c r="P22" s="12"/>
      <c r="Q22" s="1"/>
      <c r="R22" s="13"/>
      <c r="S22" s="14" t="s">
        <v>261</v>
      </c>
      <c r="T22" s="91">
        <f>+PIVOT!B25</f>
        <v>0</v>
      </c>
      <c r="U22" s="94">
        <f>+PIVOT!D25</f>
        <v>0</v>
      </c>
      <c r="V22" s="95">
        <f>+PIVOT!C25</f>
        <v>0</v>
      </c>
      <c r="W22" s="12"/>
      <c r="X22" s="12"/>
      <c r="Y22" s="96">
        <f>+PIVOT!A25</f>
        <v>0</v>
      </c>
      <c r="Z22" s="93">
        <f>+PIVOT!D25</f>
        <v>0</v>
      </c>
      <c r="AA22" s="93">
        <f>+PIVOT!E25</f>
        <v>0</v>
      </c>
    </row>
    <row r="23" spans="1:27">
      <c r="A23" s="1">
        <v>1</v>
      </c>
      <c r="B23" s="5" t="s">
        <v>258</v>
      </c>
      <c r="C23" s="91">
        <f>+'PT ABC'!G$5</f>
        <v>7008750</v>
      </c>
      <c r="D23" s="5">
        <v>1000</v>
      </c>
      <c r="E23" s="5">
        <v>302</v>
      </c>
      <c r="F23" s="91">
        <f>+'PT ABC'!M$5</f>
        <v>0</v>
      </c>
      <c r="G23" s="7"/>
      <c r="H23" s="8" t="s">
        <v>259</v>
      </c>
      <c r="I23" s="1"/>
      <c r="J23" s="1" t="s">
        <v>260</v>
      </c>
      <c r="K23" s="10">
        <v>417772</v>
      </c>
      <c r="L23" s="10"/>
      <c r="M23" s="93" t="str">
        <f t="shared" si="1"/>
        <v>0VM2021</v>
      </c>
      <c r="N23" s="11"/>
      <c r="O23" s="11"/>
      <c r="P23" s="12"/>
      <c r="Q23" s="1"/>
      <c r="R23" s="13"/>
      <c r="S23" s="14" t="s">
        <v>261</v>
      </c>
      <c r="T23" s="91">
        <f>+PIVOT!B26</f>
        <v>0</v>
      </c>
      <c r="U23" s="94">
        <f>+PIVOT!D26</f>
        <v>0</v>
      </c>
      <c r="V23" s="95">
        <f>+PIVOT!C26</f>
        <v>0</v>
      </c>
      <c r="W23" s="12"/>
      <c r="X23" s="12"/>
      <c r="Y23" s="96">
        <f>+PIVOT!A26</f>
        <v>0</v>
      </c>
      <c r="Z23" s="93">
        <f>+PIVOT!D26</f>
        <v>0</v>
      </c>
      <c r="AA23" s="93">
        <f>+PIVOT!E26</f>
        <v>0</v>
      </c>
    </row>
    <row r="24" spans="1:27">
      <c r="A24" s="1">
        <v>1</v>
      </c>
      <c r="B24" s="5" t="s">
        <v>258</v>
      </c>
      <c r="C24" s="91">
        <f>+'PT ABC'!G$5</f>
        <v>7008750</v>
      </c>
      <c r="D24" s="5">
        <v>1000</v>
      </c>
      <c r="E24" s="5">
        <v>302</v>
      </c>
      <c r="F24" s="91">
        <f>+'PT ABC'!M$5</f>
        <v>0</v>
      </c>
      <c r="G24" s="7"/>
      <c r="H24" s="8" t="s">
        <v>259</v>
      </c>
      <c r="I24" s="1"/>
      <c r="J24" s="1" t="s">
        <v>260</v>
      </c>
      <c r="K24" s="10">
        <v>417772</v>
      </c>
      <c r="L24" s="10"/>
      <c r="M24" s="93" t="str">
        <f t="shared" si="1"/>
        <v>0VM2021</v>
      </c>
      <c r="N24" s="11"/>
      <c r="O24" s="11"/>
      <c r="P24" s="12"/>
      <c r="Q24" s="1"/>
      <c r="R24" s="13"/>
      <c r="S24" s="14" t="s">
        <v>261</v>
      </c>
      <c r="T24" s="91">
        <f>+PIVOT!B27</f>
        <v>0</v>
      </c>
      <c r="U24" s="94">
        <f>+PIVOT!D27</f>
        <v>0</v>
      </c>
      <c r="V24" s="95">
        <f>+PIVOT!C27</f>
        <v>0</v>
      </c>
      <c r="W24" s="12"/>
      <c r="X24" s="12"/>
      <c r="Y24" s="96">
        <f>+PIVOT!A27</f>
        <v>0</v>
      </c>
      <c r="Z24" s="93">
        <f>+PIVOT!D27</f>
        <v>0</v>
      </c>
      <c r="AA24" s="93">
        <f>+PIVOT!E27</f>
        <v>0</v>
      </c>
    </row>
    <row r="25" spans="1:27">
      <c r="A25" s="1">
        <v>1</v>
      </c>
      <c r="B25" s="5" t="s">
        <v>258</v>
      </c>
      <c r="C25" s="91">
        <f>+'PT ABC'!G$5</f>
        <v>7008750</v>
      </c>
      <c r="D25" s="5">
        <v>1000</v>
      </c>
      <c r="E25" s="5">
        <v>302</v>
      </c>
      <c r="F25" s="91">
        <f>+'PT ABC'!M$5</f>
        <v>0</v>
      </c>
      <c r="G25" s="7"/>
      <c r="H25" s="8" t="s">
        <v>259</v>
      </c>
      <c r="I25" s="1"/>
      <c r="J25" s="1" t="s">
        <v>260</v>
      </c>
      <c r="K25" s="10">
        <v>417772</v>
      </c>
      <c r="L25" s="10"/>
      <c r="M25" s="93" t="str">
        <f t="shared" si="1"/>
        <v>0VM2021</v>
      </c>
      <c r="N25" s="11"/>
      <c r="O25" s="11"/>
      <c r="P25" s="12"/>
      <c r="Q25" s="1"/>
      <c r="R25" s="13"/>
      <c r="S25" s="14" t="s">
        <v>261</v>
      </c>
      <c r="T25" s="91">
        <f>+PIVOT!B28</f>
        <v>0</v>
      </c>
      <c r="U25" s="94">
        <f>+PIVOT!D28</f>
        <v>0</v>
      </c>
      <c r="V25" s="95">
        <f>+PIVOT!C28</f>
        <v>0</v>
      </c>
      <c r="W25" s="12"/>
      <c r="X25" s="12"/>
      <c r="Y25" s="96">
        <f>+PIVOT!A28</f>
        <v>0</v>
      </c>
      <c r="Z25" s="93">
        <f>+PIVOT!D28</f>
        <v>0</v>
      </c>
      <c r="AA25" s="93">
        <f>+PIVOT!E28</f>
        <v>0</v>
      </c>
    </row>
    <row r="26" spans="1:27">
      <c r="A26" s="1">
        <v>1</v>
      </c>
      <c r="B26" s="5" t="s">
        <v>258</v>
      </c>
      <c r="C26" s="91">
        <f>+'PT ABC'!G$5</f>
        <v>7008750</v>
      </c>
      <c r="D26" s="5">
        <v>1000</v>
      </c>
      <c r="E26" s="5">
        <v>302</v>
      </c>
      <c r="F26" s="91">
        <f>+'PT ABC'!M$5</f>
        <v>0</v>
      </c>
      <c r="G26" s="7"/>
      <c r="H26" s="8" t="s">
        <v>259</v>
      </c>
      <c r="I26" s="1"/>
      <c r="J26" s="1" t="s">
        <v>260</v>
      </c>
      <c r="K26" s="10">
        <v>417772</v>
      </c>
      <c r="L26" s="10"/>
      <c r="M26" s="93" t="str">
        <f t="shared" si="1"/>
        <v>0VM2021</v>
      </c>
      <c r="N26" s="11"/>
      <c r="O26" s="11"/>
      <c r="P26" s="12"/>
      <c r="Q26" s="1"/>
      <c r="R26" s="13"/>
      <c r="S26" s="14" t="s">
        <v>261</v>
      </c>
      <c r="T26" s="91">
        <f>+PIVOT!B29</f>
        <v>0</v>
      </c>
      <c r="U26" s="94">
        <f>+PIVOT!D29</f>
        <v>0</v>
      </c>
      <c r="V26" s="95">
        <f>+PIVOT!C29</f>
        <v>0</v>
      </c>
      <c r="W26" s="12"/>
      <c r="X26" s="12"/>
      <c r="Y26" s="96">
        <f>+PIVOT!A29</f>
        <v>0</v>
      </c>
      <c r="Z26" s="93">
        <f>+PIVOT!D29</f>
        <v>0</v>
      </c>
      <c r="AA26" s="93">
        <f>+PIVOT!E29</f>
        <v>0</v>
      </c>
    </row>
    <row r="27" spans="1:27">
      <c r="A27" s="1">
        <v>1</v>
      </c>
      <c r="B27" s="5" t="s">
        <v>258</v>
      </c>
      <c r="C27" s="91">
        <f>+'PT ABC'!G$5</f>
        <v>7008750</v>
      </c>
      <c r="D27" s="5">
        <v>1000</v>
      </c>
      <c r="E27" s="5">
        <v>302</v>
      </c>
      <c r="F27" s="91">
        <f>+'PT ABC'!M$5</f>
        <v>0</v>
      </c>
      <c r="G27" s="7"/>
      <c r="H27" s="8" t="s">
        <v>259</v>
      </c>
      <c r="I27" s="1"/>
      <c r="J27" s="1" t="s">
        <v>260</v>
      </c>
      <c r="K27" s="10">
        <v>417772</v>
      </c>
      <c r="L27" s="10"/>
      <c r="M27" s="93" t="str">
        <f t="shared" si="1"/>
        <v>0VM2021</v>
      </c>
      <c r="N27" s="11"/>
      <c r="O27" s="11"/>
      <c r="P27" s="12"/>
      <c r="Q27" s="1"/>
      <c r="R27" s="13"/>
      <c r="S27" s="14" t="s">
        <v>261</v>
      </c>
      <c r="T27" s="91">
        <f>+PIVOT!B30</f>
        <v>0</v>
      </c>
      <c r="U27" s="94">
        <f>+PIVOT!D30</f>
        <v>0</v>
      </c>
      <c r="V27" s="95">
        <f>+PIVOT!C30</f>
        <v>0</v>
      </c>
      <c r="W27" s="12"/>
      <c r="X27" s="12"/>
      <c r="Y27" s="96">
        <f>+PIVOT!A30</f>
        <v>0</v>
      </c>
      <c r="Z27" s="93">
        <f>+PIVOT!D30</f>
        <v>0</v>
      </c>
      <c r="AA27" s="93">
        <f>+PIVOT!E30</f>
        <v>0</v>
      </c>
    </row>
    <row r="28" spans="1:27">
      <c r="A28" s="1">
        <v>1</v>
      </c>
      <c r="B28" s="5" t="s">
        <v>258</v>
      </c>
      <c r="C28" s="91">
        <f>+'PT ABC'!G$5</f>
        <v>7008750</v>
      </c>
      <c r="D28" s="5">
        <v>1000</v>
      </c>
      <c r="E28" s="5">
        <v>302</v>
      </c>
      <c r="F28" s="91">
        <f>+'PT ABC'!M$5</f>
        <v>0</v>
      </c>
      <c r="G28" s="7"/>
      <c r="H28" s="8" t="s">
        <v>259</v>
      </c>
      <c r="I28" s="1"/>
      <c r="J28" s="1" t="s">
        <v>260</v>
      </c>
      <c r="K28" s="10">
        <v>417772</v>
      </c>
      <c r="L28" s="10"/>
      <c r="M28" s="93" t="str">
        <f t="shared" si="1"/>
        <v>0VM2021</v>
      </c>
      <c r="N28" s="11"/>
      <c r="O28" s="11"/>
      <c r="P28" s="12"/>
      <c r="Q28" s="1"/>
      <c r="R28" s="13"/>
      <c r="S28" s="14" t="s">
        <v>261</v>
      </c>
      <c r="T28" s="91">
        <f>+PIVOT!B31</f>
        <v>0</v>
      </c>
      <c r="U28" s="94">
        <f>+PIVOT!D31</f>
        <v>0</v>
      </c>
      <c r="V28" s="95">
        <f>+PIVOT!C31</f>
        <v>0</v>
      </c>
      <c r="W28" s="12"/>
      <c r="X28" s="12"/>
      <c r="Y28" s="96">
        <f>+PIVOT!A31</f>
        <v>0</v>
      </c>
      <c r="Z28" s="93">
        <f>+PIVOT!D31</f>
        <v>0</v>
      </c>
      <c r="AA28" s="93">
        <f>+PIVOT!E31</f>
        <v>0</v>
      </c>
    </row>
    <row r="29" spans="1:27">
      <c r="A29" s="1">
        <v>1</v>
      </c>
      <c r="B29" s="5" t="s">
        <v>258</v>
      </c>
      <c r="C29" s="91">
        <f>+'PT ABC'!G$5</f>
        <v>7008750</v>
      </c>
      <c r="D29" s="5">
        <v>1000</v>
      </c>
      <c r="E29" s="5">
        <v>302</v>
      </c>
      <c r="F29" s="91">
        <f>+'PT ABC'!M$5</f>
        <v>0</v>
      </c>
      <c r="G29" s="7"/>
      <c r="H29" s="8" t="s">
        <v>259</v>
      </c>
      <c r="I29" s="1"/>
      <c r="J29" s="1" t="s">
        <v>260</v>
      </c>
      <c r="K29" s="10">
        <v>417772</v>
      </c>
      <c r="L29" s="10"/>
      <c r="M29" s="93" t="str">
        <f t="shared" si="1"/>
        <v>0VM2021</v>
      </c>
      <c r="N29" s="11"/>
      <c r="O29" s="11"/>
      <c r="P29" s="12"/>
      <c r="Q29" s="1"/>
      <c r="R29" s="13"/>
      <c r="S29" s="14" t="s">
        <v>261</v>
      </c>
      <c r="T29" s="91">
        <f>+PIVOT!B32</f>
        <v>0</v>
      </c>
      <c r="U29" s="94">
        <f>+PIVOT!D32</f>
        <v>0</v>
      </c>
      <c r="V29" s="95">
        <f>+PIVOT!C32</f>
        <v>0</v>
      </c>
      <c r="W29" s="12"/>
      <c r="X29" s="12"/>
      <c r="Y29" s="96">
        <f>+PIVOT!A32</f>
        <v>0</v>
      </c>
      <c r="Z29" s="93">
        <f>+PIVOT!D32</f>
        <v>0</v>
      </c>
      <c r="AA29" s="93">
        <f>+PIVOT!E32</f>
        <v>0</v>
      </c>
    </row>
    <row r="30" spans="1:27">
      <c r="A30" s="1">
        <v>1</v>
      </c>
      <c r="B30" s="5" t="s">
        <v>258</v>
      </c>
      <c r="C30" s="91">
        <f>+'PT ABC'!G$5</f>
        <v>7008750</v>
      </c>
      <c r="D30" s="5">
        <v>1000</v>
      </c>
      <c r="E30" s="5">
        <v>302</v>
      </c>
      <c r="F30" s="91">
        <f>+'PT ABC'!M$5</f>
        <v>0</v>
      </c>
      <c r="G30" s="7"/>
      <c r="H30" s="8" t="s">
        <v>259</v>
      </c>
      <c r="I30" s="1"/>
      <c r="J30" s="1" t="s">
        <v>260</v>
      </c>
      <c r="K30" s="10">
        <v>417772</v>
      </c>
      <c r="L30" s="10"/>
      <c r="M30" s="93" t="str">
        <f t="shared" si="1"/>
        <v>0VM2021</v>
      </c>
      <c r="N30" s="11"/>
      <c r="O30" s="11"/>
      <c r="P30" s="12"/>
      <c r="Q30" s="1"/>
      <c r="R30" s="13"/>
      <c r="S30" s="14" t="s">
        <v>261</v>
      </c>
      <c r="T30" s="91">
        <f>+PIVOT!B33</f>
        <v>0</v>
      </c>
      <c r="U30" s="94">
        <f>+PIVOT!D33</f>
        <v>0</v>
      </c>
      <c r="V30" s="95">
        <f>+PIVOT!C33</f>
        <v>0</v>
      </c>
      <c r="W30" s="12"/>
      <c r="X30" s="12"/>
      <c r="Y30" s="96">
        <f>+PIVOT!A33</f>
        <v>0</v>
      </c>
      <c r="Z30" s="93">
        <f>+PIVOT!D33</f>
        <v>0</v>
      </c>
      <c r="AA30" s="93">
        <f>+PIVOT!E33</f>
        <v>0</v>
      </c>
    </row>
    <row r="31" spans="1:27">
      <c r="A31" s="1">
        <v>1</v>
      </c>
      <c r="B31" s="5" t="s">
        <v>258</v>
      </c>
      <c r="C31" s="91">
        <f>+'PT ABC'!G$5</f>
        <v>7008750</v>
      </c>
      <c r="D31" s="5">
        <v>1000</v>
      </c>
      <c r="E31" s="5">
        <v>302</v>
      </c>
      <c r="F31" s="91">
        <f>+'PT ABC'!M$5</f>
        <v>0</v>
      </c>
      <c r="G31" s="7"/>
      <c r="H31" s="8" t="s">
        <v>259</v>
      </c>
      <c r="I31" s="1"/>
      <c r="J31" s="1" t="s">
        <v>260</v>
      </c>
      <c r="K31" s="10">
        <v>417772</v>
      </c>
      <c r="L31" s="10"/>
      <c r="M31" s="93" t="str">
        <f t="shared" si="1"/>
        <v>0VM2021</v>
      </c>
      <c r="N31" s="11"/>
      <c r="O31" s="11"/>
      <c r="P31" s="12"/>
      <c r="Q31" s="1"/>
      <c r="R31" s="13"/>
      <c r="S31" s="14" t="s">
        <v>261</v>
      </c>
      <c r="T31" s="91">
        <f>+PIVOT!B34</f>
        <v>0</v>
      </c>
      <c r="U31" s="94">
        <f>+PIVOT!D34</f>
        <v>0</v>
      </c>
      <c r="V31" s="95">
        <f>+PIVOT!C34</f>
        <v>0</v>
      </c>
      <c r="W31" s="12"/>
      <c r="X31" s="12"/>
      <c r="Y31" s="96">
        <f>+PIVOT!A34</f>
        <v>0</v>
      </c>
      <c r="Z31" s="93">
        <f>+PIVOT!D34</f>
        <v>0</v>
      </c>
      <c r="AA31" s="93">
        <f>+PIVOT!E34</f>
        <v>0</v>
      </c>
    </row>
    <row r="32" spans="1:27">
      <c r="A32" s="1">
        <v>1</v>
      </c>
      <c r="B32" s="5" t="s">
        <v>258</v>
      </c>
      <c r="C32" s="91">
        <f>+'PT ABC'!G$5</f>
        <v>7008750</v>
      </c>
      <c r="D32" s="5">
        <v>1000</v>
      </c>
      <c r="E32" s="5">
        <v>302</v>
      </c>
      <c r="F32" s="91">
        <f>+'PT ABC'!M$5</f>
        <v>0</v>
      </c>
      <c r="G32" s="7"/>
      <c r="H32" s="8" t="s">
        <v>259</v>
      </c>
      <c r="I32" s="1"/>
      <c r="J32" s="1" t="s">
        <v>260</v>
      </c>
      <c r="K32" s="10">
        <v>417772</v>
      </c>
      <c r="L32" s="10"/>
      <c r="M32" s="93" t="str">
        <f t="shared" si="1"/>
        <v>0VM2021</v>
      </c>
      <c r="N32" s="11"/>
      <c r="O32" s="11"/>
      <c r="P32" s="12"/>
      <c r="Q32" s="1"/>
      <c r="R32" s="13"/>
      <c r="S32" s="14" t="s">
        <v>261</v>
      </c>
      <c r="T32" s="91">
        <f>+PIVOT!B35</f>
        <v>0</v>
      </c>
      <c r="U32" s="94">
        <f>+PIVOT!D35</f>
        <v>0</v>
      </c>
      <c r="V32" s="95">
        <f>+PIVOT!C35</f>
        <v>0</v>
      </c>
      <c r="W32" s="12"/>
      <c r="X32" s="12"/>
      <c r="Y32" s="96">
        <f>+PIVOT!A35</f>
        <v>0</v>
      </c>
      <c r="Z32" s="93">
        <f>+PIVOT!D35</f>
        <v>0</v>
      </c>
      <c r="AA32" s="93">
        <f>+PIVOT!E35</f>
        <v>0</v>
      </c>
    </row>
    <row r="33" spans="1:27">
      <c r="A33" s="1">
        <v>1</v>
      </c>
      <c r="B33" s="5" t="s">
        <v>258</v>
      </c>
      <c r="C33" s="91">
        <f>+'PT ABC'!G$5</f>
        <v>7008750</v>
      </c>
      <c r="D33" s="5">
        <v>1000</v>
      </c>
      <c r="E33" s="5">
        <v>302</v>
      </c>
      <c r="F33" s="91">
        <f>+'PT ABC'!M$5</f>
        <v>0</v>
      </c>
      <c r="G33" s="7"/>
      <c r="H33" s="8" t="s">
        <v>259</v>
      </c>
      <c r="I33" s="1"/>
      <c r="J33" s="1" t="s">
        <v>260</v>
      </c>
      <c r="K33" s="10">
        <v>417772</v>
      </c>
      <c r="L33" s="10"/>
      <c r="M33" s="93" t="str">
        <f t="shared" si="1"/>
        <v>0VM2021</v>
      </c>
      <c r="N33" s="11"/>
      <c r="O33" s="11"/>
      <c r="P33" s="12"/>
      <c r="Q33" s="1"/>
      <c r="R33" s="13"/>
      <c r="S33" s="14" t="s">
        <v>261</v>
      </c>
      <c r="T33" s="91">
        <f>+PIVOT!B36</f>
        <v>0</v>
      </c>
      <c r="U33" s="94">
        <f>+PIVOT!D36</f>
        <v>0</v>
      </c>
      <c r="V33" s="95">
        <f>+PIVOT!C36</f>
        <v>0</v>
      </c>
      <c r="W33" s="12"/>
      <c r="X33" s="12"/>
      <c r="Y33" s="96">
        <f>+PIVOT!A36</f>
        <v>0</v>
      </c>
      <c r="Z33" s="93">
        <f>+PIVOT!D36</f>
        <v>0</v>
      </c>
      <c r="AA33" s="93">
        <f>+PIVOT!E36</f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7"/>
  <sheetViews>
    <sheetView workbookViewId="0">
      <selection activeCell="F168" sqref="F168"/>
    </sheetView>
  </sheetViews>
  <sheetFormatPr defaultColWidth="9" defaultRowHeight="16.8" outlineLevelCol="6"/>
  <cols>
    <col min="1" max="1" width="17.09375" customWidth="1"/>
    <col min="2" max="2" width="11.90625" customWidth="1"/>
    <col min="3" max="3" width="7.3671875" customWidth="1"/>
    <col min="4" max="4" width="9.546875" customWidth="1"/>
    <col min="5" max="5" width="17" customWidth="1"/>
    <col min="6" max="6" width="14.90625" customWidth="1"/>
    <col min="7" max="8" width="12" customWidth="1"/>
  </cols>
  <sheetData>
    <row r="3" spans="5:5">
      <c r="E3" t="s">
        <v>262</v>
      </c>
    </row>
    <row r="4" spans="1:7">
      <c r="A4" t="s">
        <v>255</v>
      </c>
      <c r="B4" t="s">
        <v>3</v>
      </c>
      <c r="C4" t="s">
        <v>5</v>
      </c>
      <c r="D4" t="s">
        <v>256</v>
      </c>
      <c r="E4" t="s">
        <v>263</v>
      </c>
      <c r="F4" t="s">
        <v>264</v>
      </c>
      <c r="G4" t="s">
        <v>265</v>
      </c>
    </row>
    <row r="5" spans="1:7">
      <c r="A5" t="s">
        <v>266</v>
      </c>
      <c r="B5">
        <v>720001707</v>
      </c>
      <c r="C5">
        <v>40</v>
      </c>
      <c r="D5" t="s">
        <v>267</v>
      </c>
      <c r="E5" s="87">
        <v>0</v>
      </c>
      <c r="F5" s="88">
        <v>0</v>
      </c>
      <c r="G5" s="88">
        <v>0</v>
      </c>
    </row>
    <row r="6" spans="2:7">
      <c r="B6">
        <v>720001737</v>
      </c>
      <c r="C6">
        <v>15</v>
      </c>
      <c r="D6" t="s">
        <v>267</v>
      </c>
      <c r="E6" s="87">
        <v>0</v>
      </c>
      <c r="F6" s="88">
        <v>0</v>
      </c>
      <c r="G6" s="88">
        <v>0</v>
      </c>
    </row>
    <row r="7" spans="2:7">
      <c r="B7">
        <v>720001997</v>
      </c>
      <c r="C7">
        <v>25</v>
      </c>
      <c r="D7" t="s">
        <v>267</v>
      </c>
      <c r="E7" s="87">
        <v>0</v>
      </c>
      <c r="F7" s="88">
        <v>0</v>
      </c>
      <c r="G7" s="88">
        <v>0</v>
      </c>
    </row>
    <row r="8" spans="2:7">
      <c r="B8">
        <v>720002029</v>
      </c>
      <c r="C8">
        <v>25</v>
      </c>
      <c r="D8" t="s">
        <v>267</v>
      </c>
      <c r="E8" s="87">
        <v>0</v>
      </c>
      <c r="F8" s="88">
        <v>0</v>
      </c>
      <c r="G8" s="88">
        <v>0</v>
      </c>
    </row>
    <row r="9" spans="2:7">
      <c r="B9">
        <v>720002125</v>
      </c>
      <c r="C9">
        <v>5</v>
      </c>
      <c r="D9" t="s">
        <v>267</v>
      </c>
      <c r="E9" s="87">
        <v>0</v>
      </c>
      <c r="F9" s="88">
        <v>0</v>
      </c>
      <c r="G9" s="88">
        <v>0</v>
      </c>
    </row>
    <row r="10" spans="2:7">
      <c r="B10">
        <v>720002000</v>
      </c>
      <c r="C10">
        <v>58</v>
      </c>
      <c r="D10" t="s">
        <v>267</v>
      </c>
      <c r="E10" s="87">
        <v>0</v>
      </c>
      <c r="F10" s="88">
        <v>0</v>
      </c>
      <c r="G10" s="88">
        <v>0</v>
      </c>
    </row>
    <row r="11" spans="2:7">
      <c r="B11">
        <v>720001567</v>
      </c>
      <c r="C11">
        <v>60</v>
      </c>
      <c r="D11" t="s">
        <v>267</v>
      </c>
      <c r="E11" s="87">
        <v>0</v>
      </c>
      <c r="F11" s="88">
        <v>0</v>
      </c>
      <c r="G11" s="88">
        <v>0</v>
      </c>
    </row>
    <row r="12" spans="2:7">
      <c r="B12">
        <v>720001999</v>
      </c>
      <c r="C12">
        <v>49</v>
      </c>
      <c r="D12" t="s">
        <v>267</v>
      </c>
      <c r="E12" s="87">
        <v>0</v>
      </c>
      <c r="F12" s="88">
        <v>0</v>
      </c>
      <c r="G12" s="88">
        <v>0</v>
      </c>
    </row>
    <row r="13" spans="1:7">
      <c r="A13" t="s">
        <v>268</v>
      </c>
      <c r="B13">
        <v>720002125</v>
      </c>
      <c r="C13">
        <v>5</v>
      </c>
      <c r="D13" t="s">
        <v>267</v>
      </c>
      <c r="E13" s="87">
        <v>0</v>
      </c>
      <c r="F13" s="88">
        <v>0</v>
      </c>
      <c r="G13" s="88">
        <v>0</v>
      </c>
    </row>
    <row r="14" spans="2:7">
      <c r="B14">
        <v>720001567</v>
      </c>
      <c r="C14">
        <v>60</v>
      </c>
      <c r="D14" t="s">
        <v>267</v>
      </c>
      <c r="E14" s="87">
        <v>0</v>
      </c>
      <c r="F14" s="88">
        <v>0</v>
      </c>
      <c r="G14" s="88">
        <v>0</v>
      </c>
    </row>
    <row r="15" spans="2:7">
      <c r="B15">
        <v>720002035</v>
      </c>
      <c r="C15" t="s">
        <v>269</v>
      </c>
      <c r="D15" t="s">
        <v>267</v>
      </c>
      <c r="E15" s="87">
        <v>0</v>
      </c>
      <c r="F15" s="88">
        <v>0</v>
      </c>
      <c r="G15" s="88">
        <v>0</v>
      </c>
    </row>
    <row r="16" spans="2:7">
      <c r="B16" t="s">
        <v>269</v>
      </c>
      <c r="C16" t="s">
        <v>269</v>
      </c>
      <c r="D16" t="s">
        <v>267</v>
      </c>
      <c r="E16" s="87"/>
      <c r="F16" s="88"/>
      <c r="G16" s="88"/>
    </row>
    <row r="17" spans="1:7">
      <c r="A17" t="s">
        <v>270</v>
      </c>
      <c r="E17" s="87">
        <v>0</v>
      </c>
      <c r="F17" s="88">
        <v>0</v>
      </c>
      <c r="G17" s="88">
        <v>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zoomScale="70" zoomScaleNormal="70" workbookViewId="0">
      <selection activeCell="X1" sqref="X1"/>
    </sheetView>
  </sheetViews>
  <sheetFormatPr defaultColWidth="8.8203125" defaultRowHeight="16.8"/>
  <cols>
    <col min="1" max="1" width="5" customWidth="1"/>
    <col min="2" max="2" width="7.6328125" customWidth="1"/>
    <col min="3" max="3" width="6.3671875" customWidth="1"/>
    <col min="4" max="4" width="7.90625" customWidth="1"/>
    <col min="5" max="5" width="9.7265625" customWidth="1"/>
    <col min="6" max="6" width="4.546875" customWidth="1"/>
    <col min="7" max="7" width="8.2734375" customWidth="1"/>
    <col min="8" max="8" width="5.1796875" customWidth="1"/>
    <col min="9" max="12" width="3.09375" customWidth="1"/>
    <col min="13" max="13" width="11.546875" customWidth="1"/>
    <col min="14" max="18" width="3.8203125" customWidth="1"/>
    <col min="19" max="19" width="7.2734375" customWidth="1"/>
    <col min="20" max="20" width="9.09375" customWidth="1"/>
    <col min="22" max="22" width="10" customWidth="1"/>
    <col min="23" max="24" width="8.546875" customWidth="1"/>
    <col min="25" max="25" width="13.09375" customWidth="1"/>
    <col min="26" max="26" width="5.8203125" customWidth="1"/>
    <col min="27" max="27" width="19.8203125" customWidth="1"/>
  </cols>
  <sheetData>
    <row r="1" spans="1:27">
      <c r="A1" s="69" t="s">
        <v>231</v>
      </c>
      <c r="B1" s="70" t="s">
        <v>232</v>
      </c>
      <c r="C1" s="71" t="s">
        <v>233</v>
      </c>
      <c r="D1" s="72" t="s">
        <v>234</v>
      </c>
      <c r="E1" s="72" t="s">
        <v>235</v>
      </c>
      <c r="F1" s="71" t="s">
        <v>236</v>
      </c>
      <c r="G1" s="71" t="s">
        <v>237</v>
      </c>
      <c r="H1" s="72" t="s">
        <v>238</v>
      </c>
      <c r="I1" s="71" t="s">
        <v>239</v>
      </c>
      <c r="J1" s="71" t="s">
        <v>240</v>
      </c>
      <c r="K1" s="72" t="s">
        <v>241</v>
      </c>
      <c r="L1" s="72" t="s">
        <v>242</v>
      </c>
      <c r="M1" s="78" t="s">
        <v>243</v>
      </c>
      <c r="N1" s="79" t="s">
        <v>244</v>
      </c>
      <c r="O1" s="79" t="s">
        <v>245</v>
      </c>
      <c r="P1" s="78" t="s">
        <v>246</v>
      </c>
      <c r="Q1" s="78" t="s">
        <v>247</v>
      </c>
      <c r="R1" s="78" t="s">
        <v>248</v>
      </c>
      <c r="S1" s="70" t="s">
        <v>249</v>
      </c>
      <c r="T1" s="78" t="s">
        <v>250</v>
      </c>
      <c r="U1" s="78" t="s">
        <v>251</v>
      </c>
      <c r="V1" s="78" t="s">
        <v>252</v>
      </c>
      <c r="W1" s="79" t="s">
        <v>253</v>
      </c>
      <c r="X1" s="79" t="s">
        <v>254</v>
      </c>
      <c r="Y1" s="78" t="s">
        <v>255</v>
      </c>
      <c r="Z1" s="85" t="s">
        <v>256</v>
      </c>
      <c r="AA1" s="85" t="s">
        <v>257</v>
      </c>
    </row>
    <row r="2" spans="1:27">
      <c r="A2" s="69">
        <v>1</v>
      </c>
      <c r="B2" s="73" t="s">
        <v>258</v>
      </c>
      <c r="C2" s="74">
        <f>'PT ABC'!$G$5</f>
        <v>7008750</v>
      </c>
      <c r="D2" s="73">
        <v>1000</v>
      </c>
      <c r="E2" s="73">
        <v>302</v>
      </c>
      <c r="F2" s="74">
        <f>'PT ABC'!$M$5</f>
        <v>0</v>
      </c>
      <c r="G2" s="75"/>
      <c r="H2" s="76" t="s">
        <v>259</v>
      </c>
      <c r="I2" s="69"/>
      <c r="J2" s="69" t="s">
        <v>260</v>
      </c>
      <c r="K2" s="77">
        <v>417772</v>
      </c>
      <c r="L2" s="77"/>
      <c r="M2" s="80" t="str">
        <f>F2&amp;"VM2022"</f>
        <v>0VM2022</v>
      </c>
      <c r="N2" s="81"/>
      <c r="O2" s="81"/>
      <c r="P2" s="81"/>
      <c r="Q2" s="69"/>
      <c r="R2" s="82"/>
      <c r="S2" s="83" t="s">
        <v>261</v>
      </c>
      <c r="T2" s="74">
        <f>Pivot.!D5</f>
        <v>720002030</v>
      </c>
      <c r="U2" s="84">
        <f>Pivot.!F5</f>
        <v>0</v>
      </c>
      <c r="V2" s="80">
        <f>Pivot.!E5</f>
        <v>40</v>
      </c>
      <c r="W2" s="81"/>
      <c r="X2" s="81"/>
      <c r="Y2" s="86" t="str">
        <f>Pivot.!A5</f>
        <v>(blank)</v>
      </c>
      <c r="Z2" s="80" t="str">
        <f>Pivot.!B5</f>
        <v>(blank)</v>
      </c>
      <c r="AA2" s="80" t="str">
        <f>Pivot.!C5</f>
        <v>(blank)</v>
      </c>
    </row>
    <row r="3" spans="1:27">
      <c r="A3" s="69">
        <v>1</v>
      </c>
      <c r="B3" s="73" t="s">
        <v>258</v>
      </c>
      <c r="C3" s="74">
        <f>'PT ABC'!$G$5</f>
        <v>7008750</v>
      </c>
      <c r="D3" s="73">
        <v>1000</v>
      </c>
      <c r="E3" s="73">
        <v>302</v>
      </c>
      <c r="F3" s="74">
        <f>'PT ABC'!$M$5</f>
        <v>0</v>
      </c>
      <c r="G3" s="75"/>
      <c r="H3" s="76" t="s">
        <v>259</v>
      </c>
      <c r="I3" s="69"/>
      <c r="J3" s="69" t="s">
        <v>260</v>
      </c>
      <c r="K3" s="77">
        <v>417772</v>
      </c>
      <c r="L3" s="77"/>
      <c r="M3" s="80" t="str">
        <f t="shared" ref="M3:M33" si="0">F3&amp;"VM2022"</f>
        <v>0VM2022</v>
      </c>
      <c r="N3" s="81"/>
      <c r="O3" s="81"/>
      <c r="P3" s="81"/>
      <c r="Q3" s="69"/>
      <c r="R3" s="82"/>
      <c r="S3" s="83" t="s">
        <v>261</v>
      </c>
      <c r="T3" s="74">
        <f>Pivot.!D6</f>
        <v>0</v>
      </c>
      <c r="U3" s="84">
        <f>Pivot.!F6</f>
        <v>0</v>
      </c>
      <c r="V3" s="80">
        <f>Pivot.!E6</f>
        <v>0</v>
      </c>
      <c r="W3" s="81"/>
      <c r="X3" s="81"/>
      <c r="Y3" s="86" t="str">
        <f>Pivot.!A6</f>
        <v>Grand Total</v>
      </c>
      <c r="Z3" s="80">
        <f>Pivot.!B6</f>
        <v>0</v>
      </c>
      <c r="AA3" s="80">
        <f>Pivot.!C6</f>
        <v>0</v>
      </c>
    </row>
    <row r="4" spans="1:27">
      <c r="A4" s="69">
        <v>1</v>
      </c>
      <c r="B4" s="73" t="s">
        <v>258</v>
      </c>
      <c r="C4" s="74">
        <f>'PT ABC'!$G$5</f>
        <v>7008750</v>
      </c>
      <c r="D4" s="73">
        <v>1000</v>
      </c>
      <c r="E4" s="73">
        <v>302</v>
      </c>
      <c r="F4" s="74">
        <f>'PT ABC'!$M$5</f>
        <v>0</v>
      </c>
      <c r="G4" s="75"/>
      <c r="H4" s="76" t="s">
        <v>259</v>
      </c>
      <c r="I4" s="69"/>
      <c r="J4" s="69" t="s">
        <v>260</v>
      </c>
      <c r="K4" s="77">
        <v>417772</v>
      </c>
      <c r="L4" s="77"/>
      <c r="M4" s="80" t="str">
        <f t="shared" si="0"/>
        <v>0VM2022</v>
      </c>
      <c r="N4" s="81"/>
      <c r="O4" s="81"/>
      <c r="P4" s="81"/>
      <c r="Q4" s="69"/>
      <c r="R4" s="82"/>
      <c r="S4" s="83" t="s">
        <v>261</v>
      </c>
      <c r="T4" s="74">
        <f>Pivot.!D7</f>
        <v>0</v>
      </c>
      <c r="U4" s="84">
        <f>Pivot.!F7</f>
        <v>0</v>
      </c>
      <c r="V4" s="80">
        <f>Pivot.!E7</f>
        <v>0</v>
      </c>
      <c r="W4" s="81"/>
      <c r="X4" s="81"/>
      <c r="Y4" s="86">
        <f>Pivot.!A7</f>
        <v>0</v>
      </c>
      <c r="Z4" s="80">
        <f>Pivot.!B7</f>
        <v>0</v>
      </c>
      <c r="AA4" s="80">
        <f>Pivot.!C7</f>
        <v>0</v>
      </c>
    </row>
    <row r="5" spans="1:27">
      <c r="A5" s="69">
        <v>1</v>
      </c>
      <c r="B5" s="73" t="s">
        <v>258</v>
      </c>
      <c r="C5" s="74">
        <f>'PT ABC'!$G$5</f>
        <v>7008750</v>
      </c>
      <c r="D5" s="73">
        <v>1000</v>
      </c>
      <c r="E5" s="73">
        <v>302</v>
      </c>
      <c r="F5" s="74">
        <f>'PT ABC'!$M$5</f>
        <v>0</v>
      </c>
      <c r="G5" s="75"/>
      <c r="H5" s="76" t="s">
        <v>259</v>
      </c>
      <c r="I5" s="69"/>
      <c r="J5" s="69" t="s">
        <v>260</v>
      </c>
      <c r="K5" s="77">
        <v>417772</v>
      </c>
      <c r="L5" s="77"/>
      <c r="M5" s="80" t="str">
        <f t="shared" si="0"/>
        <v>0VM2022</v>
      </c>
      <c r="N5" s="81"/>
      <c r="O5" s="81"/>
      <c r="P5" s="81"/>
      <c r="Q5" s="69"/>
      <c r="R5" s="82"/>
      <c r="S5" s="83" t="s">
        <v>261</v>
      </c>
      <c r="T5" s="74">
        <f>Pivot.!D8</f>
        <v>0</v>
      </c>
      <c r="U5" s="84">
        <f>Pivot.!F8</f>
        <v>0</v>
      </c>
      <c r="V5" s="80">
        <f>Pivot.!E8</f>
        <v>0</v>
      </c>
      <c r="W5" s="81"/>
      <c r="X5" s="81"/>
      <c r="Y5" s="86">
        <f>Pivot.!A8</f>
        <v>0</v>
      </c>
      <c r="Z5" s="80">
        <f>Pivot.!B8</f>
        <v>0</v>
      </c>
      <c r="AA5" s="80">
        <f>Pivot.!C8</f>
        <v>0</v>
      </c>
    </row>
    <row r="6" spans="1:27">
      <c r="A6" s="69">
        <v>1</v>
      </c>
      <c r="B6" s="73" t="s">
        <v>258</v>
      </c>
      <c r="C6" s="74">
        <f>'PT ABC'!$G$5</f>
        <v>7008750</v>
      </c>
      <c r="D6" s="73">
        <v>1000</v>
      </c>
      <c r="E6" s="73">
        <v>302</v>
      </c>
      <c r="F6" s="74">
        <f>'PT ABC'!$M$5</f>
        <v>0</v>
      </c>
      <c r="G6" s="75"/>
      <c r="H6" s="76" t="s">
        <v>259</v>
      </c>
      <c r="I6" s="69"/>
      <c r="J6" s="69" t="s">
        <v>260</v>
      </c>
      <c r="K6" s="77">
        <v>417772</v>
      </c>
      <c r="L6" s="77"/>
      <c r="M6" s="80" t="str">
        <f t="shared" si="0"/>
        <v>0VM2022</v>
      </c>
      <c r="N6" s="81"/>
      <c r="O6" s="81"/>
      <c r="P6" s="81"/>
      <c r="Q6" s="69"/>
      <c r="R6" s="82"/>
      <c r="S6" s="83" t="s">
        <v>261</v>
      </c>
      <c r="T6" s="74">
        <f>Pivot.!D9</f>
        <v>0</v>
      </c>
      <c r="U6" s="84">
        <f>Pivot.!F9</f>
        <v>0</v>
      </c>
      <c r="V6" s="80">
        <f>Pivot.!E9</f>
        <v>0</v>
      </c>
      <c r="W6" s="81"/>
      <c r="X6" s="81"/>
      <c r="Y6" s="86">
        <f>Pivot.!A9</f>
        <v>0</v>
      </c>
      <c r="Z6" s="80">
        <f>Pivot.!B9</f>
        <v>0</v>
      </c>
      <c r="AA6" s="80">
        <f>Pivot.!C9</f>
        <v>0</v>
      </c>
    </row>
    <row r="7" spans="1:27">
      <c r="A7" s="69">
        <v>1</v>
      </c>
      <c r="B7" s="73" t="s">
        <v>258</v>
      </c>
      <c r="C7" s="74">
        <f>'PT ABC'!$G$5</f>
        <v>7008750</v>
      </c>
      <c r="D7" s="73">
        <v>1000</v>
      </c>
      <c r="E7" s="73">
        <v>302</v>
      </c>
      <c r="F7" s="74">
        <f>'PT ABC'!$M$5</f>
        <v>0</v>
      </c>
      <c r="G7" s="75"/>
      <c r="H7" s="76" t="s">
        <v>259</v>
      </c>
      <c r="I7" s="69"/>
      <c r="J7" s="69" t="s">
        <v>260</v>
      </c>
      <c r="K7" s="77">
        <v>417772</v>
      </c>
      <c r="L7" s="77"/>
      <c r="M7" s="80" t="str">
        <f t="shared" si="0"/>
        <v>0VM2022</v>
      </c>
      <c r="N7" s="81"/>
      <c r="O7" s="81"/>
      <c r="P7" s="81"/>
      <c r="Q7" s="69"/>
      <c r="R7" s="82"/>
      <c r="S7" s="83" t="s">
        <v>261</v>
      </c>
      <c r="T7" s="74">
        <f>Pivot.!D10</f>
        <v>0</v>
      </c>
      <c r="U7" s="84">
        <f>Pivot.!F10</f>
        <v>0</v>
      </c>
      <c r="V7" s="80">
        <f>Pivot.!E10</f>
        <v>0</v>
      </c>
      <c r="W7" s="81"/>
      <c r="X7" s="81"/>
      <c r="Y7" s="86">
        <f>Pivot.!A10</f>
        <v>0</v>
      </c>
      <c r="Z7" s="80">
        <f>Pivot.!B10</f>
        <v>0</v>
      </c>
      <c r="AA7" s="80">
        <f>Pivot.!C10</f>
        <v>0</v>
      </c>
    </row>
    <row r="8" spans="1:27">
      <c r="A8" s="69">
        <v>1</v>
      </c>
      <c r="B8" s="73" t="s">
        <v>258</v>
      </c>
      <c r="C8" s="74">
        <f>'PT ABC'!$G$5</f>
        <v>7008750</v>
      </c>
      <c r="D8" s="73">
        <v>1000</v>
      </c>
      <c r="E8" s="73">
        <v>302</v>
      </c>
      <c r="F8" s="74">
        <f>'PT ABC'!$M$5</f>
        <v>0</v>
      </c>
      <c r="G8" s="75"/>
      <c r="H8" s="76" t="s">
        <v>259</v>
      </c>
      <c r="I8" s="69"/>
      <c r="J8" s="69" t="s">
        <v>260</v>
      </c>
      <c r="K8" s="77">
        <v>417772</v>
      </c>
      <c r="L8" s="77"/>
      <c r="M8" s="80" t="str">
        <f t="shared" si="0"/>
        <v>0VM2022</v>
      </c>
      <c r="N8" s="81"/>
      <c r="O8" s="81"/>
      <c r="P8" s="81"/>
      <c r="Q8" s="69"/>
      <c r="R8" s="82"/>
      <c r="S8" s="83" t="s">
        <v>261</v>
      </c>
      <c r="T8" s="74">
        <f>Pivot.!D11</f>
        <v>0</v>
      </c>
      <c r="U8" s="84">
        <f>Pivot.!F11</f>
        <v>0</v>
      </c>
      <c r="V8" s="80">
        <f>Pivot.!E11</f>
        <v>0</v>
      </c>
      <c r="W8" s="81"/>
      <c r="X8" s="81"/>
      <c r="Y8" s="86">
        <f>Pivot.!A11</f>
        <v>0</v>
      </c>
      <c r="Z8" s="80">
        <f>Pivot.!B11</f>
        <v>0</v>
      </c>
      <c r="AA8" s="80">
        <f>Pivot.!C11</f>
        <v>0</v>
      </c>
    </row>
    <row r="9" spans="1:27">
      <c r="A9" s="69">
        <v>1</v>
      </c>
      <c r="B9" s="73" t="s">
        <v>258</v>
      </c>
      <c r="C9" s="74">
        <f>'PT ABC'!$G$5</f>
        <v>7008750</v>
      </c>
      <c r="D9" s="73">
        <v>1000</v>
      </c>
      <c r="E9" s="73">
        <v>302</v>
      </c>
      <c r="F9" s="74">
        <f>'PT ABC'!$M$5</f>
        <v>0</v>
      </c>
      <c r="G9" s="75"/>
      <c r="H9" s="76" t="s">
        <v>259</v>
      </c>
      <c r="I9" s="69"/>
      <c r="J9" s="69" t="s">
        <v>260</v>
      </c>
      <c r="K9" s="77">
        <v>417772</v>
      </c>
      <c r="L9" s="77"/>
      <c r="M9" s="80" t="str">
        <f t="shared" si="0"/>
        <v>0VM2022</v>
      </c>
      <c r="N9" s="81"/>
      <c r="O9" s="81"/>
      <c r="P9" s="81"/>
      <c r="Q9" s="69"/>
      <c r="R9" s="82"/>
      <c r="S9" s="83" t="s">
        <v>261</v>
      </c>
      <c r="T9" s="74">
        <f>Pivot.!D12</f>
        <v>0</v>
      </c>
      <c r="U9" s="84">
        <f>Pivot.!F12</f>
        <v>0</v>
      </c>
      <c r="V9" s="80">
        <f>Pivot.!E12</f>
        <v>0</v>
      </c>
      <c r="W9" s="81"/>
      <c r="X9" s="81"/>
      <c r="Y9" s="86">
        <f>Pivot.!A12</f>
        <v>0</v>
      </c>
      <c r="Z9" s="80">
        <f>Pivot.!B12</f>
        <v>0</v>
      </c>
      <c r="AA9" s="80">
        <f>Pivot.!C12</f>
        <v>0</v>
      </c>
    </row>
    <row r="10" spans="1:27">
      <c r="A10" s="69">
        <v>1</v>
      </c>
      <c r="B10" s="73" t="s">
        <v>258</v>
      </c>
      <c r="C10" s="74">
        <f>'PT ABC'!$G$5</f>
        <v>7008750</v>
      </c>
      <c r="D10" s="73">
        <v>1000</v>
      </c>
      <c r="E10" s="73">
        <v>302</v>
      </c>
      <c r="F10" s="74">
        <f>'PT ABC'!$M$5</f>
        <v>0</v>
      </c>
      <c r="G10" s="75"/>
      <c r="H10" s="76" t="s">
        <v>259</v>
      </c>
      <c r="I10" s="69"/>
      <c r="J10" s="69" t="s">
        <v>260</v>
      </c>
      <c r="K10" s="77">
        <v>417772</v>
      </c>
      <c r="L10" s="77"/>
      <c r="M10" s="80" t="str">
        <f t="shared" si="0"/>
        <v>0VM2022</v>
      </c>
      <c r="N10" s="81"/>
      <c r="O10" s="81"/>
      <c r="P10" s="81"/>
      <c r="Q10" s="69"/>
      <c r="R10" s="82"/>
      <c r="S10" s="83" t="s">
        <v>261</v>
      </c>
      <c r="T10" s="74">
        <f>Pivot.!D13</f>
        <v>0</v>
      </c>
      <c r="U10" s="84">
        <f>Pivot.!F13</f>
        <v>0</v>
      </c>
      <c r="V10" s="80">
        <f>Pivot.!E13</f>
        <v>0</v>
      </c>
      <c r="W10" s="81"/>
      <c r="X10" s="81"/>
      <c r="Y10" s="86">
        <f>Pivot.!A13</f>
        <v>0</v>
      </c>
      <c r="Z10" s="80">
        <f>Pivot.!B13</f>
        <v>0</v>
      </c>
      <c r="AA10" s="80">
        <f>Pivot.!C13</f>
        <v>0</v>
      </c>
    </row>
    <row r="11" spans="1:27">
      <c r="A11" s="69">
        <v>1</v>
      </c>
      <c r="B11" s="73" t="s">
        <v>258</v>
      </c>
      <c r="C11" s="74">
        <f>'PT ABC'!$G$5</f>
        <v>7008750</v>
      </c>
      <c r="D11" s="73">
        <v>1000</v>
      </c>
      <c r="E11" s="73">
        <v>302</v>
      </c>
      <c r="F11" s="74">
        <f>'PT ABC'!$M$5</f>
        <v>0</v>
      </c>
      <c r="G11" s="75"/>
      <c r="H11" s="76" t="s">
        <v>259</v>
      </c>
      <c r="I11" s="69"/>
      <c r="J11" s="69" t="s">
        <v>260</v>
      </c>
      <c r="K11" s="77">
        <v>417772</v>
      </c>
      <c r="L11" s="77"/>
      <c r="M11" s="80" t="str">
        <f t="shared" si="0"/>
        <v>0VM2022</v>
      </c>
      <c r="N11" s="81"/>
      <c r="O11" s="81"/>
      <c r="P11" s="81"/>
      <c r="Q11" s="69"/>
      <c r="R11" s="82"/>
      <c r="S11" s="83" t="s">
        <v>261</v>
      </c>
      <c r="T11" s="74">
        <f>Pivot.!D14</f>
        <v>0</v>
      </c>
      <c r="U11" s="84">
        <f>Pivot.!F14</f>
        <v>0</v>
      </c>
      <c r="V11" s="80">
        <f>Pivot.!E14</f>
        <v>0</v>
      </c>
      <c r="W11" s="81"/>
      <c r="X11" s="81"/>
      <c r="Y11" s="86">
        <f>Pivot.!A14</f>
        <v>0</v>
      </c>
      <c r="Z11" s="80">
        <f>Pivot.!B14</f>
        <v>0</v>
      </c>
      <c r="AA11" s="80">
        <f>Pivot.!C14</f>
        <v>0</v>
      </c>
    </row>
    <row r="12" spans="1:27">
      <c r="A12" s="69">
        <v>1</v>
      </c>
      <c r="B12" s="73" t="s">
        <v>258</v>
      </c>
      <c r="C12" s="74">
        <f>'PT ABC'!$G$5</f>
        <v>7008750</v>
      </c>
      <c r="D12" s="73">
        <v>1000</v>
      </c>
      <c r="E12" s="73">
        <v>302</v>
      </c>
      <c r="F12" s="74">
        <f>'PT ABC'!$M$5</f>
        <v>0</v>
      </c>
      <c r="G12" s="75"/>
      <c r="H12" s="76" t="s">
        <v>259</v>
      </c>
      <c r="I12" s="69"/>
      <c r="J12" s="69" t="s">
        <v>260</v>
      </c>
      <c r="K12" s="77">
        <v>417772</v>
      </c>
      <c r="L12" s="77"/>
      <c r="M12" s="80" t="str">
        <f t="shared" si="0"/>
        <v>0VM2022</v>
      </c>
      <c r="N12" s="81"/>
      <c r="O12" s="81"/>
      <c r="P12" s="81"/>
      <c r="Q12" s="69"/>
      <c r="R12" s="82"/>
      <c r="S12" s="83" t="s">
        <v>261</v>
      </c>
      <c r="T12" s="74">
        <f>Pivot.!D15</f>
        <v>0</v>
      </c>
      <c r="U12" s="84">
        <f>Pivot.!F15</f>
        <v>0</v>
      </c>
      <c r="V12" s="80">
        <f>Pivot.!E15</f>
        <v>0</v>
      </c>
      <c r="W12" s="81"/>
      <c r="X12" s="81"/>
      <c r="Y12" s="86">
        <f>Pivot.!A15</f>
        <v>0</v>
      </c>
      <c r="Z12" s="80">
        <f>Pivot.!B15</f>
        <v>0</v>
      </c>
      <c r="AA12" s="80">
        <f>Pivot.!C15</f>
        <v>0</v>
      </c>
    </row>
    <row r="13" spans="1:27">
      <c r="A13" s="69">
        <v>1</v>
      </c>
      <c r="B13" s="73" t="s">
        <v>258</v>
      </c>
      <c r="C13" s="74">
        <f>'PT ABC'!$G$5</f>
        <v>7008750</v>
      </c>
      <c r="D13" s="73">
        <v>1000</v>
      </c>
      <c r="E13" s="73">
        <v>302</v>
      </c>
      <c r="F13" s="74">
        <f>'PT ABC'!$M$5</f>
        <v>0</v>
      </c>
      <c r="G13" s="75"/>
      <c r="H13" s="76" t="s">
        <v>259</v>
      </c>
      <c r="I13" s="69"/>
      <c r="J13" s="69" t="s">
        <v>260</v>
      </c>
      <c r="K13" s="77">
        <v>417772</v>
      </c>
      <c r="L13" s="77"/>
      <c r="M13" s="80" t="str">
        <f t="shared" si="0"/>
        <v>0VM2022</v>
      </c>
      <c r="N13" s="81"/>
      <c r="O13" s="81"/>
      <c r="P13" s="81"/>
      <c r="Q13" s="69"/>
      <c r="R13" s="82"/>
      <c r="S13" s="83" t="s">
        <v>261</v>
      </c>
      <c r="T13" s="74">
        <f>Pivot.!D16</f>
        <v>0</v>
      </c>
      <c r="U13" s="84">
        <f>Pivot.!F16</f>
        <v>0</v>
      </c>
      <c r="V13" s="80">
        <f>Pivot.!E16</f>
        <v>0</v>
      </c>
      <c r="W13" s="81"/>
      <c r="X13" s="81"/>
      <c r="Y13" s="86">
        <f>Pivot.!A16</f>
        <v>0</v>
      </c>
      <c r="Z13" s="80">
        <f>Pivot.!B16</f>
        <v>0</v>
      </c>
      <c r="AA13" s="80">
        <f>Pivot.!C16</f>
        <v>0</v>
      </c>
    </row>
    <row r="14" spans="1:27">
      <c r="A14" s="69">
        <v>1</v>
      </c>
      <c r="B14" s="73" t="s">
        <v>258</v>
      </c>
      <c r="C14" s="74">
        <f>'PT ABC'!$G$5</f>
        <v>7008750</v>
      </c>
      <c r="D14" s="73">
        <v>1000</v>
      </c>
      <c r="E14" s="73">
        <v>302</v>
      </c>
      <c r="F14" s="74">
        <f>'PT ABC'!$M$5</f>
        <v>0</v>
      </c>
      <c r="G14" s="75"/>
      <c r="H14" s="76" t="s">
        <v>259</v>
      </c>
      <c r="I14" s="69"/>
      <c r="J14" s="69" t="s">
        <v>260</v>
      </c>
      <c r="K14" s="77">
        <v>417772</v>
      </c>
      <c r="L14" s="77"/>
      <c r="M14" s="80" t="str">
        <f t="shared" si="0"/>
        <v>0VM2022</v>
      </c>
      <c r="N14" s="81"/>
      <c r="O14" s="81"/>
      <c r="P14" s="81"/>
      <c r="Q14" s="69"/>
      <c r="R14" s="82"/>
      <c r="S14" s="83" t="s">
        <v>261</v>
      </c>
      <c r="T14" s="74">
        <f>Pivot.!D17</f>
        <v>0</v>
      </c>
      <c r="U14" s="84">
        <f>Pivot.!F17</f>
        <v>0</v>
      </c>
      <c r="V14" s="80">
        <f>Pivot.!E17</f>
        <v>0</v>
      </c>
      <c r="W14" s="81"/>
      <c r="X14" s="81"/>
      <c r="Y14" s="86">
        <f>Pivot.!A17</f>
        <v>0</v>
      </c>
      <c r="Z14" s="80">
        <f>Pivot.!B17</f>
        <v>0</v>
      </c>
      <c r="AA14" s="80">
        <f>Pivot.!C17</f>
        <v>0</v>
      </c>
    </row>
    <row r="15" spans="1:27">
      <c r="A15" s="69">
        <v>1</v>
      </c>
      <c r="B15" s="73" t="s">
        <v>258</v>
      </c>
      <c r="C15" s="74">
        <f>'PT ABC'!$G$5</f>
        <v>7008750</v>
      </c>
      <c r="D15" s="73">
        <v>1000</v>
      </c>
      <c r="E15" s="73">
        <v>302</v>
      </c>
      <c r="F15" s="74">
        <f>'PT ABC'!$M$5</f>
        <v>0</v>
      </c>
      <c r="G15" s="75"/>
      <c r="H15" s="76" t="s">
        <v>259</v>
      </c>
      <c r="I15" s="69"/>
      <c r="J15" s="69" t="s">
        <v>260</v>
      </c>
      <c r="K15" s="77">
        <v>417772</v>
      </c>
      <c r="L15" s="77"/>
      <c r="M15" s="80" t="str">
        <f t="shared" si="0"/>
        <v>0VM2022</v>
      </c>
      <c r="N15" s="81"/>
      <c r="O15" s="81"/>
      <c r="P15" s="81"/>
      <c r="Q15" s="69"/>
      <c r="R15" s="82"/>
      <c r="S15" s="83" t="s">
        <v>261</v>
      </c>
      <c r="T15" s="74">
        <f>Pivot.!D18</f>
        <v>0</v>
      </c>
      <c r="U15" s="84">
        <f>Pivot.!F18</f>
        <v>0</v>
      </c>
      <c r="V15" s="80">
        <f>Pivot.!E18</f>
        <v>0</v>
      </c>
      <c r="W15" s="81"/>
      <c r="X15" s="81"/>
      <c r="Y15" s="86">
        <f>Pivot.!A18</f>
        <v>0</v>
      </c>
      <c r="Z15" s="80">
        <f>Pivot.!B18</f>
        <v>0</v>
      </c>
      <c r="AA15" s="80">
        <f>Pivot.!C18</f>
        <v>0</v>
      </c>
    </row>
    <row r="16" spans="1:27">
      <c r="A16" s="69">
        <v>1</v>
      </c>
      <c r="B16" s="73" t="s">
        <v>258</v>
      </c>
      <c r="C16" s="74">
        <f>'PT ABC'!$G$5</f>
        <v>7008750</v>
      </c>
      <c r="D16" s="73">
        <v>1000</v>
      </c>
      <c r="E16" s="73">
        <v>302</v>
      </c>
      <c r="F16" s="74">
        <f>'PT ABC'!$M$5</f>
        <v>0</v>
      </c>
      <c r="G16" s="75"/>
      <c r="H16" s="76" t="s">
        <v>259</v>
      </c>
      <c r="I16" s="69"/>
      <c r="J16" s="69" t="s">
        <v>260</v>
      </c>
      <c r="K16" s="77">
        <v>417772</v>
      </c>
      <c r="L16" s="77"/>
      <c r="M16" s="80" t="str">
        <f t="shared" si="0"/>
        <v>0VM2022</v>
      </c>
      <c r="N16" s="81"/>
      <c r="O16" s="81"/>
      <c r="P16" s="81"/>
      <c r="Q16" s="69"/>
      <c r="R16" s="82"/>
      <c r="S16" s="83" t="s">
        <v>261</v>
      </c>
      <c r="T16" s="74">
        <f>Pivot.!D19</f>
        <v>0</v>
      </c>
      <c r="U16" s="84">
        <f>Pivot.!F19</f>
        <v>0</v>
      </c>
      <c r="V16" s="80">
        <f>Pivot.!E19</f>
        <v>0</v>
      </c>
      <c r="W16" s="81"/>
      <c r="X16" s="81"/>
      <c r="Y16" s="86">
        <f>Pivot.!A19</f>
        <v>0</v>
      </c>
      <c r="Z16" s="80">
        <f>Pivot.!B19</f>
        <v>0</v>
      </c>
      <c r="AA16" s="80">
        <f>Pivot.!C19</f>
        <v>0</v>
      </c>
    </row>
    <row r="17" spans="1:27">
      <c r="A17" s="69">
        <v>1</v>
      </c>
      <c r="B17" s="73" t="s">
        <v>258</v>
      </c>
      <c r="C17" s="74">
        <f>'PT ABC'!$G$5</f>
        <v>7008750</v>
      </c>
      <c r="D17" s="73">
        <v>1000</v>
      </c>
      <c r="E17" s="73">
        <v>302</v>
      </c>
      <c r="F17" s="74">
        <f>'PT ABC'!$M$5</f>
        <v>0</v>
      </c>
      <c r="G17" s="75"/>
      <c r="H17" s="76" t="s">
        <v>259</v>
      </c>
      <c r="I17" s="69"/>
      <c r="J17" s="69" t="s">
        <v>260</v>
      </c>
      <c r="K17" s="77">
        <v>417772</v>
      </c>
      <c r="L17" s="77"/>
      <c r="M17" s="80" t="str">
        <f t="shared" si="0"/>
        <v>0VM2022</v>
      </c>
      <c r="N17" s="81"/>
      <c r="O17" s="81"/>
      <c r="P17" s="81"/>
      <c r="Q17" s="69"/>
      <c r="R17" s="82"/>
      <c r="S17" s="83" t="s">
        <v>261</v>
      </c>
      <c r="T17" s="74">
        <f>Pivot.!D20</f>
        <v>0</v>
      </c>
      <c r="U17" s="84">
        <f>Pivot.!F20</f>
        <v>0</v>
      </c>
      <c r="V17" s="80">
        <f>Pivot.!E20</f>
        <v>0</v>
      </c>
      <c r="W17" s="81"/>
      <c r="X17" s="81"/>
      <c r="Y17" s="86">
        <f>Pivot.!A20</f>
        <v>0</v>
      </c>
      <c r="Z17" s="80">
        <f>Pivot.!B20</f>
        <v>0</v>
      </c>
      <c r="AA17" s="80">
        <f>Pivot.!C20</f>
        <v>0</v>
      </c>
    </row>
    <row r="18" spans="1:27">
      <c r="A18" s="69">
        <v>1</v>
      </c>
      <c r="B18" s="73" t="s">
        <v>258</v>
      </c>
      <c r="C18" s="74">
        <f>'PT ABC'!$G$5</f>
        <v>7008750</v>
      </c>
      <c r="D18" s="73">
        <v>1000</v>
      </c>
      <c r="E18" s="73">
        <v>302</v>
      </c>
      <c r="F18" s="74">
        <f>'PT ABC'!$M$5</f>
        <v>0</v>
      </c>
      <c r="G18" s="75"/>
      <c r="H18" s="76" t="s">
        <v>259</v>
      </c>
      <c r="I18" s="69"/>
      <c r="J18" s="69" t="s">
        <v>260</v>
      </c>
      <c r="K18" s="77">
        <v>417772</v>
      </c>
      <c r="L18" s="77"/>
      <c r="M18" s="80" t="str">
        <f t="shared" si="0"/>
        <v>0VM2022</v>
      </c>
      <c r="N18" s="81"/>
      <c r="O18" s="81"/>
      <c r="P18" s="81"/>
      <c r="Q18" s="69"/>
      <c r="R18" s="82"/>
      <c r="S18" s="83" t="s">
        <v>261</v>
      </c>
      <c r="T18" s="74">
        <f>Pivot.!D21</f>
        <v>0</v>
      </c>
      <c r="U18" s="84">
        <f>Pivot.!F21</f>
        <v>0</v>
      </c>
      <c r="V18" s="80">
        <f>Pivot.!E21</f>
        <v>0</v>
      </c>
      <c r="W18" s="81"/>
      <c r="X18" s="81"/>
      <c r="Y18" s="86">
        <f>Pivot.!A21</f>
        <v>0</v>
      </c>
      <c r="Z18" s="80">
        <f>Pivot.!B21</f>
        <v>0</v>
      </c>
      <c r="AA18" s="80">
        <f>Pivot.!C21</f>
        <v>0</v>
      </c>
    </row>
    <row r="19" spans="1:27">
      <c r="A19" s="69">
        <v>1</v>
      </c>
      <c r="B19" s="73" t="s">
        <v>258</v>
      </c>
      <c r="C19" s="74">
        <f>'PT ABC'!$G$5</f>
        <v>7008750</v>
      </c>
      <c r="D19" s="73">
        <v>1000</v>
      </c>
      <c r="E19" s="73">
        <v>302</v>
      </c>
      <c r="F19" s="74">
        <f>'PT ABC'!$M$5</f>
        <v>0</v>
      </c>
      <c r="G19" s="75"/>
      <c r="H19" s="76" t="s">
        <v>259</v>
      </c>
      <c r="I19" s="69"/>
      <c r="J19" s="69" t="s">
        <v>260</v>
      </c>
      <c r="K19" s="77">
        <v>417772</v>
      </c>
      <c r="L19" s="77"/>
      <c r="M19" s="80" t="str">
        <f t="shared" si="0"/>
        <v>0VM2022</v>
      </c>
      <c r="N19" s="81"/>
      <c r="O19" s="81"/>
      <c r="P19" s="81"/>
      <c r="Q19" s="69"/>
      <c r="R19" s="82"/>
      <c r="S19" s="83" t="s">
        <v>261</v>
      </c>
      <c r="T19" s="74">
        <f>Pivot.!D22</f>
        <v>0</v>
      </c>
      <c r="U19" s="84">
        <f>Pivot.!F22</f>
        <v>0</v>
      </c>
      <c r="V19" s="80">
        <f>Pivot.!E22</f>
        <v>0</v>
      </c>
      <c r="W19" s="81"/>
      <c r="X19" s="81"/>
      <c r="Y19" s="86">
        <f>Pivot.!A22</f>
        <v>0</v>
      </c>
      <c r="Z19" s="80">
        <f>Pivot.!B22</f>
        <v>0</v>
      </c>
      <c r="AA19" s="80">
        <f>Pivot.!C22</f>
        <v>0</v>
      </c>
    </row>
    <row r="20" spans="1:27">
      <c r="A20" s="69">
        <v>1</v>
      </c>
      <c r="B20" s="73" t="s">
        <v>258</v>
      </c>
      <c r="C20" s="74">
        <f>'PT ABC'!$G$5</f>
        <v>7008750</v>
      </c>
      <c r="D20" s="73">
        <v>1000</v>
      </c>
      <c r="E20" s="73">
        <v>302</v>
      </c>
      <c r="F20" s="74">
        <f>'PT ABC'!$M$5</f>
        <v>0</v>
      </c>
      <c r="G20" s="75"/>
      <c r="H20" s="76" t="s">
        <v>259</v>
      </c>
      <c r="I20" s="69"/>
      <c r="J20" s="69" t="s">
        <v>260</v>
      </c>
      <c r="K20" s="77">
        <v>417772</v>
      </c>
      <c r="L20" s="77"/>
      <c r="M20" s="80" t="str">
        <f t="shared" si="0"/>
        <v>0VM2022</v>
      </c>
      <c r="N20" s="81"/>
      <c r="O20" s="81"/>
      <c r="P20" s="81"/>
      <c r="Q20" s="69"/>
      <c r="R20" s="82"/>
      <c r="S20" s="83" t="s">
        <v>261</v>
      </c>
      <c r="T20" s="74">
        <f>Pivot.!D23</f>
        <v>0</v>
      </c>
      <c r="U20" s="84">
        <f>Pivot.!F23</f>
        <v>0</v>
      </c>
      <c r="V20" s="80">
        <f>Pivot.!E23</f>
        <v>0</v>
      </c>
      <c r="W20" s="81"/>
      <c r="X20" s="81"/>
      <c r="Y20" s="86">
        <f>Pivot.!A23</f>
        <v>0</v>
      </c>
      <c r="Z20" s="80">
        <f>Pivot.!B23</f>
        <v>0</v>
      </c>
      <c r="AA20" s="80">
        <f>Pivot.!C23</f>
        <v>0</v>
      </c>
    </row>
    <row r="21" spans="1:27">
      <c r="A21" s="69">
        <v>1</v>
      </c>
      <c r="B21" s="73" t="s">
        <v>258</v>
      </c>
      <c r="C21" s="74">
        <f>'PT ABC'!$G$5</f>
        <v>7008750</v>
      </c>
      <c r="D21" s="73">
        <v>1000</v>
      </c>
      <c r="E21" s="73">
        <v>302</v>
      </c>
      <c r="F21" s="74">
        <f>'PT ABC'!$M$5</f>
        <v>0</v>
      </c>
      <c r="G21" s="75"/>
      <c r="H21" s="76" t="s">
        <v>259</v>
      </c>
      <c r="I21" s="69"/>
      <c r="J21" s="69" t="s">
        <v>260</v>
      </c>
      <c r="K21" s="77">
        <v>417772</v>
      </c>
      <c r="L21" s="77"/>
      <c r="M21" s="80" t="str">
        <f t="shared" si="0"/>
        <v>0VM2022</v>
      </c>
      <c r="N21" s="81"/>
      <c r="O21" s="81"/>
      <c r="P21" s="81"/>
      <c r="Q21" s="69"/>
      <c r="R21" s="82"/>
      <c r="S21" s="83" t="s">
        <v>261</v>
      </c>
      <c r="T21" s="74">
        <f>Pivot.!D24</f>
        <v>0</v>
      </c>
      <c r="U21" s="84">
        <f>Pivot.!F24</f>
        <v>0</v>
      </c>
      <c r="V21" s="80">
        <f>Pivot.!E24</f>
        <v>0</v>
      </c>
      <c r="W21" s="81"/>
      <c r="X21" s="81"/>
      <c r="Y21" s="86">
        <f>Pivot.!A24</f>
        <v>0</v>
      </c>
      <c r="Z21" s="80">
        <f>Pivot.!B24</f>
        <v>0</v>
      </c>
      <c r="AA21" s="80">
        <f>Pivot.!C24</f>
        <v>0</v>
      </c>
    </row>
    <row r="22" spans="1:27">
      <c r="A22" s="69">
        <v>1</v>
      </c>
      <c r="B22" s="73" t="s">
        <v>258</v>
      </c>
      <c r="C22" s="74">
        <f>'PT ABC'!$G$5</f>
        <v>7008750</v>
      </c>
      <c r="D22" s="73">
        <v>1000</v>
      </c>
      <c r="E22" s="73">
        <v>302</v>
      </c>
      <c r="F22" s="74">
        <f>'PT ABC'!$M$5</f>
        <v>0</v>
      </c>
      <c r="G22" s="75"/>
      <c r="H22" s="76" t="s">
        <v>259</v>
      </c>
      <c r="I22" s="69"/>
      <c r="J22" s="69" t="s">
        <v>260</v>
      </c>
      <c r="K22" s="77">
        <v>417772</v>
      </c>
      <c r="L22" s="77"/>
      <c r="M22" s="80" t="str">
        <f t="shared" si="0"/>
        <v>0VM2022</v>
      </c>
      <c r="N22" s="81"/>
      <c r="O22" s="81"/>
      <c r="P22" s="81"/>
      <c r="Q22" s="69"/>
      <c r="R22" s="82"/>
      <c r="S22" s="83" t="s">
        <v>261</v>
      </c>
      <c r="T22" s="74">
        <f>Pivot.!D25</f>
        <v>0</v>
      </c>
      <c r="U22" s="84">
        <f>Pivot.!F25</f>
        <v>0</v>
      </c>
      <c r="V22" s="80">
        <f>Pivot.!E25</f>
        <v>0</v>
      </c>
      <c r="W22" s="81"/>
      <c r="X22" s="81"/>
      <c r="Y22" s="86">
        <f>Pivot.!A25</f>
        <v>0</v>
      </c>
      <c r="Z22" s="80">
        <f>Pivot.!B25</f>
        <v>0</v>
      </c>
      <c r="AA22" s="80">
        <f>Pivot.!C25</f>
        <v>0</v>
      </c>
    </row>
    <row r="23" spans="1:27">
      <c r="A23" s="69">
        <v>1</v>
      </c>
      <c r="B23" s="73" t="s">
        <v>258</v>
      </c>
      <c r="C23" s="74">
        <f>'PT ABC'!$G$5</f>
        <v>7008750</v>
      </c>
      <c r="D23" s="73">
        <v>1000</v>
      </c>
      <c r="E23" s="73">
        <v>302</v>
      </c>
      <c r="F23" s="74">
        <f>'PT ABC'!$M$5</f>
        <v>0</v>
      </c>
      <c r="G23" s="75"/>
      <c r="H23" s="76" t="s">
        <v>259</v>
      </c>
      <c r="I23" s="69"/>
      <c r="J23" s="69" t="s">
        <v>260</v>
      </c>
      <c r="K23" s="77">
        <v>417772</v>
      </c>
      <c r="L23" s="77"/>
      <c r="M23" s="80" t="str">
        <f t="shared" si="0"/>
        <v>0VM2022</v>
      </c>
      <c r="N23" s="81"/>
      <c r="O23" s="81"/>
      <c r="P23" s="81"/>
      <c r="Q23" s="69"/>
      <c r="R23" s="82"/>
      <c r="S23" s="83" t="s">
        <v>261</v>
      </c>
      <c r="T23" s="74">
        <f>Pivot.!D26</f>
        <v>0</v>
      </c>
      <c r="U23" s="84">
        <f>Pivot.!F26</f>
        <v>0</v>
      </c>
      <c r="V23" s="80">
        <f>Pivot.!E26</f>
        <v>0</v>
      </c>
      <c r="W23" s="81"/>
      <c r="X23" s="81"/>
      <c r="Y23" s="86">
        <f>Pivot.!A26</f>
        <v>0</v>
      </c>
      <c r="Z23" s="80">
        <f>Pivot.!B26</f>
        <v>0</v>
      </c>
      <c r="AA23" s="80">
        <f>Pivot.!C26</f>
        <v>0</v>
      </c>
    </row>
    <row r="24" spans="1:27">
      <c r="A24" s="69">
        <v>1</v>
      </c>
      <c r="B24" s="73" t="s">
        <v>258</v>
      </c>
      <c r="C24" s="74">
        <f>'PT ABC'!$G$5</f>
        <v>7008750</v>
      </c>
      <c r="D24" s="73">
        <v>1000</v>
      </c>
      <c r="E24" s="73">
        <v>302</v>
      </c>
      <c r="F24" s="74">
        <f>'PT ABC'!$M$5</f>
        <v>0</v>
      </c>
      <c r="G24" s="75"/>
      <c r="H24" s="76" t="s">
        <v>259</v>
      </c>
      <c r="I24" s="69"/>
      <c r="J24" s="69" t="s">
        <v>260</v>
      </c>
      <c r="K24" s="77">
        <v>417772</v>
      </c>
      <c r="L24" s="77"/>
      <c r="M24" s="80" t="str">
        <f t="shared" si="0"/>
        <v>0VM2022</v>
      </c>
      <c r="N24" s="81"/>
      <c r="O24" s="81"/>
      <c r="P24" s="81"/>
      <c r="Q24" s="69"/>
      <c r="R24" s="82"/>
      <c r="S24" s="83" t="s">
        <v>261</v>
      </c>
      <c r="T24" s="74">
        <f>Pivot.!D27</f>
        <v>0</v>
      </c>
      <c r="U24" s="84">
        <f>Pivot.!F27</f>
        <v>0</v>
      </c>
      <c r="V24" s="80">
        <f>Pivot.!E27</f>
        <v>0</v>
      </c>
      <c r="W24" s="81"/>
      <c r="X24" s="81"/>
      <c r="Y24" s="86">
        <f>Pivot.!A27</f>
        <v>0</v>
      </c>
      <c r="Z24" s="80">
        <f>Pivot.!B27</f>
        <v>0</v>
      </c>
      <c r="AA24" s="80">
        <f>Pivot.!C27</f>
        <v>0</v>
      </c>
    </row>
    <row r="25" spans="1:27">
      <c r="A25" s="69">
        <v>1</v>
      </c>
      <c r="B25" s="73" t="s">
        <v>258</v>
      </c>
      <c r="C25" s="74">
        <f>'PT ABC'!$G$5</f>
        <v>7008750</v>
      </c>
      <c r="D25" s="73">
        <v>1000</v>
      </c>
      <c r="E25" s="73">
        <v>302</v>
      </c>
      <c r="F25" s="74">
        <f>'PT ABC'!$M$5</f>
        <v>0</v>
      </c>
      <c r="G25" s="75"/>
      <c r="H25" s="76" t="s">
        <v>259</v>
      </c>
      <c r="I25" s="69"/>
      <c r="J25" s="69" t="s">
        <v>260</v>
      </c>
      <c r="K25" s="77">
        <v>417772</v>
      </c>
      <c r="L25" s="77"/>
      <c r="M25" s="80" t="str">
        <f t="shared" si="0"/>
        <v>0VM2022</v>
      </c>
      <c r="N25" s="81"/>
      <c r="O25" s="81"/>
      <c r="P25" s="81"/>
      <c r="Q25" s="69"/>
      <c r="R25" s="82"/>
      <c r="S25" s="83" t="s">
        <v>261</v>
      </c>
      <c r="T25" s="74">
        <f>Pivot.!D28</f>
        <v>0</v>
      </c>
      <c r="U25" s="84">
        <f>Pivot.!F28</f>
        <v>0</v>
      </c>
      <c r="V25" s="80">
        <f>Pivot.!E28</f>
        <v>0</v>
      </c>
      <c r="W25" s="81"/>
      <c r="X25" s="81"/>
      <c r="Y25" s="86">
        <f>Pivot.!A28</f>
        <v>0</v>
      </c>
      <c r="Z25" s="80">
        <f>Pivot.!B28</f>
        <v>0</v>
      </c>
      <c r="AA25" s="80">
        <f>Pivot.!C28</f>
        <v>0</v>
      </c>
    </row>
    <row r="26" spans="1:27">
      <c r="A26" s="69">
        <v>1</v>
      </c>
      <c r="B26" s="73" t="s">
        <v>258</v>
      </c>
      <c r="C26" s="74">
        <f>'PT ABC'!$G$5</f>
        <v>7008750</v>
      </c>
      <c r="D26" s="73">
        <v>1000</v>
      </c>
      <c r="E26" s="73">
        <v>302</v>
      </c>
      <c r="F26" s="74">
        <f>'PT ABC'!$M$5</f>
        <v>0</v>
      </c>
      <c r="G26" s="75"/>
      <c r="H26" s="76" t="s">
        <v>259</v>
      </c>
      <c r="I26" s="69"/>
      <c r="J26" s="69" t="s">
        <v>260</v>
      </c>
      <c r="K26" s="77">
        <v>417772</v>
      </c>
      <c r="L26" s="77"/>
      <c r="M26" s="80" t="str">
        <f t="shared" si="0"/>
        <v>0VM2022</v>
      </c>
      <c r="N26" s="81"/>
      <c r="O26" s="81"/>
      <c r="P26" s="81"/>
      <c r="Q26" s="69"/>
      <c r="R26" s="82"/>
      <c r="S26" s="83" t="s">
        <v>261</v>
      </c>
      <c r="T26" s="74">
        <f>Pivot.!D29</f>
        <v>0</v>
      </c>
      <c r="U26" s="84">
        <f>Pivot.!F29</f>
        <v>0</v>
      </c>
      <c r="V26" s="80">
        <f>Pivot.!E29</f>
        <v>0</v>
      </c>
      <c r="W26" s="81"/>
      <c r="X26" s="81"/>
      <c r="Y26" s="86">
        <f>Pivot.!A29</f>
        <v>0</v>
      </c>
      <c r="Z26" s="80">
        <f>Pivot.!B29</f>
        <v>0</v>
      </c>
      <c r="AA26" s="80">
        <f>Pivot.!C29</f>
        <v>0</v>
      </c>
    </row>
    <row r="27" spans="1:27">
      <c r="A27" s="69">
        <v>1</v>
      </c>
      <c r="B27" s="73" t="s">
        <v>258</v>
      </c>
      <c r="C27" s="74">
        <f>'PT ABC'!$G$5</f>
        <v>7008750</v>
      </c>
      <c r="D27" s="73">
        <v>1000</v>
      </c>
      <c r="E27" s="73">
        <v>302</v>
      </c>
      <c r="F27" s="74">
        <f>'PT ABC'!$M$5</f>
        <v>0</v>
      </c>
      <c r="G27" s="75"/>
      <c r="H27" s="76" t="s">
        <v>259</v>
      </c>
      <c r="I27" s="69"/>
      <c r="J27" s="69" t="s">
        <v>260</v>
      </c>
      <c r="K27" s="77">
        <v>417772</v>
      </c>
      <c r="L27" s="77"/>
      <c r="M27" s="80" t="str">
        <f t="shared" si="0"/>
        <v>0VM2022</v>
      </c>
      <c r="N27" s="81"/>
      <c r="O27" s="81"/>
      <c r="P27" s="81"/>
      <c r="Q27" s="69"/>
      <c r="R27" s="82"/>
      <c r="S27" s="83" t="s">
        <v>261</v>
      </c>
      <c r="T27" s="74">
        <f>Pivot.!D30</f>
        <v>0</v>
      </c>
      <c r="U27" s="84">
        <f>Pivot.!F30</f>
        <v>0</v>
      </c>
      <c r="V27" s="80">
        <f>Pivot.!E30</f>
        <v>0</v>
      </c>
      <c r="W27" s="81"/>
      <c r="X27" s="81"/>
      <c r="Y27" s="86">
        <f>Pivot.!A30</f>
        <v>0</v>
      </c>
      <c r="Z27" s="80">
        <f>Pivot.!B30</f>
        <v>0</v>
      </c>
      <c r="AA27" s="80">
        <f>Pivot.!C30</f>
        <v>0</v>
      </c>
    </row>
    <row r="28" spans="1:27">
      <c r="A28" s="69">
        <v>1</v>
      </c>
      <c r="B28" s="73" t="s">
        <v>258</v>
      </c>
      <c r="C28" s="74">
        <f>'PT ABC'!$G$5</f>
        <v>7008750</v>
      </c>
      <c r="D28" s="73">
        <v>1000</v>
      </c>
      <c r="E28" s="73">
        <v>302</v>
      </c>
      <c r="F28" s="74">
        <f>'PT ABC'!$M$5</f>
        <v>0</v>
      </c>
      <c r="G28" s="75"/>
      <c r="H28" s="76" t="s">
        <v>259</v>
      </c>
      <c r="I28" s="69"/>
      <c r="J28" s="69" t="s">
        <v>260</v>
      </c>
      <c r="K28" s="77">
        <v>417772</v>
      </c>
      <c r="L28" s="77"/>
      <c r="M28" s="80" t="str">
        <f t="shared" si="0"/>
        <v>0VM2022</v>
      </c>
      <c r="N28" s="81"/>
      <c r="O28" s="81"/>
      <c r="P28" s="81"/>
      <c r="Q28" s="69"/>
      <c r="R28" s="82"/>
      <c r="S28" s="83" t="s">
        <v>261</v>
      </c>
      <c r="T28" s="74">
        <f>Pivot.!D31</f>
        <v>0</v>
      </c>
      <c r="U28" s="84">
        <f>Pivot.!F31</f>
        <v>0</v>
      </c>
      <c r="V28" s="80">
        <f>Pivot.!E31</f>
        <v>0</v>
      </c>
      <c r="W28" s="81"/>
      <c r="X28" s="81"/>
      <c r="Y28" s="86">
        <f>Pivot.!A31</f>
        <v>0</v>
      </c>
      <c r="Z28" s="80">
        <f>Pivot.!B31</f>
        <v>0</v>
      </c>
      <c r="AA28" s="80">
        <f>Pivot.!C31</f>
        <v>0</v>
      </c>
    </row>
    <row r="29" spans="1:27">
      <c r="A29" s="69">
        <v>1</v>
      </c>
      <c r="B29" s="73" t="s">
        <v>258</v>
      </c>
      <c r="C29" s="74">
        <f>'PT ABC'!$G$5</f>
        <v>7008750</v>
      </c>
      <c r="D29" s="73">
        <v>1000</v>
      </c>
      <c r="E29" s="73">
        <v>302</v>
      </c>
      <c r="F29" s="74">
        <f>'PT ABC'!$M$5</f>
        <v>0</v>
      </c>
      <c r="G29" s="75"/>
      <c r="H29" s="76" t="s">
        <v>259</v>
      </c>
      <c r="I29" s="69"/>
      <c r="J29" s="69" t="s">
        <v>260</v>
      </c>
      <c r="K29" s="77">
        <v>417772</v>
      </c>
      <c r="L29" s="77"/>
      <c r="M29" s="80" t="str">
        <f t="shared" si="0"/>
        <v>0VM2022</v>
      </c>
      <c r="N29" s="81"/>
      <c r="O29" s="81"/>
      <c r="P29" s="81"/>
      <c r="Q29" s="69"/>
      <c r="R29" s="82"/>
      <c r="S29" s="83" t="s">
        <v>261</v>
      </c>
      <c r="T29" s="74">
        <f>Pivot.!D32</f>
        <v>0</v>
      </c>
      <c r="U29" s="84">
        <f>Pivot.!F32</f>
        <v>0</v>
      </c>
      <c r="V29" s="80">
        <f>Pivot.!E32</f>
        <v>0</v>
      </c>
      <c r="W29" s="81"/>
      <c r="X29" s="81"/>
      <c r="Y29" s="86">
        <f>Pivot.!A32</f>
        <v>0</v>
      </c>
      <c r="Z29" s="80">
        <f>Pivot.!B32</f>
        <v>0</v>
      </c>
      <c r="AA29" s="80">
        <f>Pivot.!C32</f>
        <v>0</v>
      </c>
    </row>
    <row r="30" spans="1:27">
      <c r="A30" s="69">
        <v>1</v>
      </c>
      <c r="B30" s="73" t="s">
        <v>258</v>
      </c>
      <c r="C30" s="74">
        <f>'PT ABC'!$G$5</f>
        <v>7008750</v>
      </c>
      <c r="D30" s="73">
        <v>1000</v>
      </c>
      <c r="E30" s="73">
        <v>302</v>
      </c>
      <c r="F30" s="74">
        <f>'PT ABC'!$M$5</f>
        <v>0</v>
      </c>
      <c r="G30" s="75"/>
      <c r="H30" s="76" t="s">
        <v>259</v>
      </c>
      <c r="I30" s="69"/>
      <c r="J30" s="69" t="s">
        <v>260</v>
      </c>
      <c r="K30" s="77">
        <v>417772</v>
      </c>
      <c r="L30" s="77"/>
      <c r="M30" s="80" t="str">
        <f t="shared" si="0"/>
        <v>0VM2022</v>
      </c>
      <c r="N30" s="81"/>
      <c r="O30" s="81"/>
      <c r="P30" s="81"/>
      <c r="Q30" s="69"/>
      <c r="R30" s="82"/>
      <c r="S30" s="83" t="s">
        <v>261</v>
      </c>
      <c r="T30" s="74">
        <f>Pivot.!D33</f>
        <v>0</v>
      </c>
      <c r="U30" s="84">
        <f>Pivot.!F33</f>
        <v>0</v>
      </c>
      <c r="V30" s="80">
        <f>Pivot.!E33</f>
        <v>0</v>
      </c>
      <c r="W30" s="81"/>
      <c r="X30" s="81"/>
      <c r="Y30" s="86">
        <f>Pivot.!A33</f>
        <v>0</v>
      </c>
      <c r="Z30" s="80">
        <f>Pivot.!B33</f>
        <v>0</v>
      </c>
      <c r="AA30" s="80">
        <f>Pivot.!C33</f>
        <v>0</v>
      </c>
    </row>
    <row r="31" spans="1:27">
      <c r="A31" s="69">
        <v>1</v>
      </c>
      <c r="B31" s="73" t="s">
        <v>258</v>
      </c>
      <c r="C31" s="74">
        <f>'PT ABC'!$G$5</f>
        <v>7008750</v>
      </c>
      <c r="D31" s="73">
        <v>1000</v>
      </c>
      <c r="E31" s="73">
        <v>302</v>
      </c>
      <c r="F31" s="74">
        <f>'PT ABC'!$M$5</f>
        <v>0</v>
      </c>
      <c r="G31" s="75"/>
      <c r="H31" s="76" t="s">
        <v>259</v>
      </c>
      <c r="I31" s="69"/>
      <c r="J31" s="69" t="s">
        <v>260</v>
      </c>
      <c r="K31" s="77">
        <v>417772</v>
      </c>
      <c r="L31" s="77"/>
      <c r="M31" s="80" t="str">
        <f t="shared" si="0"/>
        <v>0VM2022</v>
      </c>
      <c r="N31" s="81"/>
      <c r="O31" s="81"/>
      <c r="P31" s="81"/>
      <c r="Q31" s="69"/>
      <c r="R31" s="82"/>
      <c r="S31" s="83" t="s">
        <v>261</v>
      </c>
      <c r="T31" s="74">
        <f>Pivot.!D34</f>
        <v>0</v>
      </c>
      <c r="U31" s="84">
        <f>Pivot.!F34</f>
        <v>0</v>
      </c>
      <c r="V31" s="80">
        <f>Pivot.!E34</f>
        <v>0</v>
      </c>
      <c r="W31" s="81"/>
      <c r="X31" s="81"/>
      <c r="Y31" s="86">
        <f>Pivot.!A34</f>
        <v>0</v>
      </c>
      <c r="Z31" s="80">
        <f>Pivot.!B34</f>
        <v>0</v>
      </c>
      <c r="AA31" s="80">
        <f>Pivot.!C34</f>
        <v>0</v>
      </c>
    </row>
    <row r="32" spans="1:27">
      <c r="A32" s="69">
        <v>1</v>
      </c>
      <c r="B32" s="73" t="s">
        <v>258</v>
      </c>
      <c r="C32" s="74">
        <f>'PT ABC'!$G$5</f>
        <v>7008750</v>
      </c>
      <c r="D32" s="73">
        <v>1000</v>
      </c>
      <c r="E32" s="73">
        <v>302</v>
      </c>
      <c r="F32" s="74">
        <f>'PT ABC'!$M$5</f>
        <v>0</v>
      </c>
      <c r="G32" s="75"/>
      <c r="H32" s="76" t="s">
        <v>259</v>
      </c>
      <c r="I32" s="69"/>
      <c r="J32" s="69" t="s">
        <v>260</v>
      </c>
      <c r="K32" s="77">
        <v>417772</v>
      </c>
      <c r="L32" s="77"/>
      <c r="M32" s="80" t="str">
        <f t="shared" si="0"/>
        <v>0VM2022</v>
      </c>
      <c r="N32" s="81"/>
      <c r="O32" s="81"/>
      <c r="P32" s="81"/>
      <c r="Q32" s="69"/>
      <c r="R32" s="82"/>
      <c r="S32" s="83" t="s">
        <v>261</v>
      </c>
      <c r="T32" s="74">
        <f>Pivot.!D35</f>
        <v>0</v>
      </c>
      <c r="U32" s="84">
        <f>Pivot.!F35</f>
        <v>0</v>
      </c>
      <c r="V32" s="80">
        <f>Pivot.!E35</f>
        <v>0</v>
      </c>
      <c r="W32" s="81"/>
      <c r="X32" s="81"/>
      <c r="Y32" s="86">
        <f>Pivot.!A35</f>
        <v>0</v>
      </c>
      <c r="Z32" s="80">
        <f>Pivot.!B35</f>
        <v>0</v>
      </c>
      <c r="AA32" s="80">
        <f>Pivot.!C35</f>
        <v>0</v>
      </c>
    </row>
    <row r="33" spans="1:27">
      <c r="A33" s="69">
        <v>1</v>
      </c>
      <c r="B33" s="73" t="s">
        <v>258</v>
      </c>
      <c r="C33" s="74">
        <f>'PT ABC'!$G$5</f>
        <v>7008750</v>
      </c>
      <c r="D33" s="73">
        <v>1000</v>
      </c>
      <c r="E33" s="73">
        <v>302</v>
      </c>
      <c r="F33" s="74">
        <f>'PT ABC'!$M$5</f>
        <v>0</v>
      </c>
      <c r="G33" s="75"/>
      <c r="H33" s="76" t="s">
        <v>259</v>
      </c>
      <c r="I33" s="69"/>
      <c r="J33" s="69" t="s">
        <v>260</v>
      </c>
      <c r="K33" s="77">
        <v>417772</v>
      </c>
      <c r="L33" s="77"/>
      <c r="M33" s="80" t="str">
        <f t="shared" si="0"/>
        <v>0VM2022</v>
      </c>
      <c r="N33" s="81"/>
      <c r="O33" s="81"/>
      <c r="P33" s="81"/>
      <c r="Q33" s="69"/>
      <c r="R33" s="82"/>
      <c r="S33" s="83" t="s">
        <v>261</v>
      </c>
      <c r="T33" s="74">
        <f>Pivot.!D36</f>
        <v>0</v>
      </c>
      <c r="U33" s="84">
        <f>Pivot.!F36</f>
        <v>0</v>
      </c>
      <c r="V33" s="80">
        <f>Pivot.!E36</f>
        <v>0</v>
      </c>
      <c r="W33" s="81"/>
      <c r="X33" s="81"/>
      <c r="Y33" s="86">
        <f>Pivot.!A36</f>
        <v>0</v>
      </c>
      <c r="Z33" s="80">
        <f>Pivot.!B36</f>
        <v>0</v>
      </c>
      <c r="AA33" s="80">
        <f>Pivot.!C36</f>
        <v>0</v>
      </c>
    </row>
  </sheetData>
  <sheetProtection sheet="1"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6"/>
  <sheetViews>
    <sheetView zoomScale="70" zoomScaleNormal="70" topLeftCell="A4" workbookViewId="0">
      <selection activeCell="I16" sqref="I16"/>
    </sheetView>
  </sheetViews>
  <sheetFormatPr defaultColWidth="9" defaultRowHeight="16.8" outlineLevelRow="5" outlineLevelCol="7"/>
  <cols>
    <col min="1" max="1" width="17.6328125" customWidth="1"/>
    <col min="2" max="2" width="9.09375" customWidth="1"/>
    <col min="3" max="3" width="24.546875" customWidth="1"/>
    <col min="4" max="4" width="14.3671875" customWidth="1"/>
    <col min="5" max="5" width="7.09375" customWidth="1"/>
    <col min="6" max="6" width="16.09375" customWidth="1"/>
    <col min="7" max="7" width="14" customWidth="1"/>
    <col min="8" max="8" width="11.3671875" customWidth="1"/>
  </cols>
  <sheetData>
    <row r="3" spans="6:6">
      <c r="F3" t="s">
        <v>262</v>
      </c>
    </row>
    <row r="4" spans="1:8">
      <c r="A4" t="s">
        <v>255</v>
      </c>
      <c r="B4" t="s">
        <v>256</v>
      </c>
      <c r="C4" t="s">
        <v>271</v>
      </c>
      <c r="D4" t="s">
        <v>3</v>
      </c>
      <c r="E4" t="s">
        <v>5</v>
      </c>
      <c r="F4" t="s">
        <v>263</v>
      </c>
      <c r="G4" t="s">
        <v>264</v>
      </c>
      <c r="H4" t="s">
        <v>265</v>
      </c>
    </row>
    <row r="5" spans="1:8">
      <c r="A5" t="s">
        <v>269</v>
      </c>
      <c r="B5" t="s">
        <v>269</v>
      </c>
      <c r="C5" t="s">
        <v>269</v>
      </c>
      <c r="D5">
        <v>720002030</v>
      </c>
      <c r="E5">
        <v>40</v>
      </c>
      <c r="F5" s="67">
        <v>0</v>
      </c>
      <c r="G5" s="68">
        <v>0</v>
      </c>
      <c r="H5" s="68">
        <v>0</v>
      </c>
    </row>
    <row r="6" spans="1:8">
      <c r="A6" t="s">
        <v>270</v>
      </c>
      <c r="F6" s="67">
        <v>0</v>
      </c>
      <c r="G6" s="68">
        <v>0</v>
      </c>
      <c r="H6" s="68">
        <v>0</v>
      </c>
    </row>
  </sheetData>
  <sheetProtection sheet="1"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45"/>
  <sheetViews>
    <sheetView tabSelected="1" zoomScale="55" zoomScaleNormal="55" workbookViewId="0">
      <pane ySplit="8" topLeftCell="A12" activePane="bottomLeft" state="frozen"/>
      <selection/>
      <selection pane="bottomLeft" activeCell="S4" sqref="S4"/>
    </sheetView>
  </sheetViews>
  <sheetFormatPr defaultColWidth="9.09375" defaultRowHeight="17.6"/>
  <cols>
    <col min="1" max="1" width="11.453125" style="17" customWidth="1"/>
    <col min="2" max="2" width="13.8203125" style="17" customWidth="1"/>
    <col min="3" max="3" width="21.1796875" style="17" customWidth="1"/>
    <col min="4" max="4" width="17.90625" style="17" customWidth="1"/>
    <col min="5" max="6" width="8.7265625" style="17" customWidth="1"/>
    <col min="7" max="7" width="14.8203125" style="17" customWidth="1"/>
    <col min="8" max="8" width="6.7265625" style="17" customWidth="1"/>
    <col min="9" max="9" width="15.90625" style="17" customWidth="1"/>
    <col min="10" max="10" width="44" style="17" customWidth="1"/>
    <col min="11" max="11" width="10.2734375" style="17" customWidth="1"/>
    <col min="12" max="12" width="15.546875" style="17" customWidth="1"/>
    <col min="13" max="13" width="12" style="17" customWidth="1"/>
    <col min="14" max="14" width="12" style="18" customWidth="1"/>
    <col min="15" max="15" width="12" style="19" customWidth="1"/>
    <col min="16" max="16" width="14.2734375" style="19" customWidth="1"/>
    <col min="17" max="17" width="12" style="19" customWidth="1"/>
    <col min="18" max="18" width="19.09375" style="19" customWidth="1"/>
    <col min="19" max="16384" width="9.09375" style="19"/>
  </cols>
  <sheetData>
    <row r="1" spans="1:18">
      <c r="A1" s="20" t="s">
        <v>272</v>
      </c>
      <c r="B1" s="20"/>
      <c r="C1" s="20"/>
      <c r="D1" s="20"/>
      <c r="E1" s="20"/>
      <c r="F1" s="20"/>
      <c r="G1" s="20"/>
      <c r="H1" s="20"/>
      <c r="I1" s="47" t="s">
        <v>273</v>
      </c>
      <c r="J1" s="48"/>
      <c r="K1" s="48"/>
      <c r="L1" s="48"/>
      <c r="M1" s="48"/>
      <c r="N1" s="48"/>
      <c r="O1" s="48"/>
      <c r="P1" s="58"/>
      <c r="Q1" s="66"/>
      <c r="R1" s="66"/>
    </row>
    <row r="2" spans="1:18">
      <c r="A2" s="21" t="s">
        <v>274</v>
      </c>
      <c r="B2" s="22"/>
      <c r="C2" s="22"/>
      <c r="D2" s="22"/>
      <c r="E2" s="22"/>
      <c r="F2" s="22"/>
      <c r="G2" s="22"/>
      <c r="H2" s="39"/>
      <c r="I2" s="49"/>
      <c r="J2" s="50"/>
      <c r="K2" s="23" t="s">
        <v>275</v>
      </c>
      <c r="L2" s="24"/>
      <c r="M2" s="26" t="s">
        <v>276</v>
      </c>
      <c r="N2" s="30"/>
      <c r="O2" s="59" t="s">
        <v>277</v>
      </c>
      <c r="P2" s="29" t="s">
        <v>278</v>
      </c>
      <c r="Q2" s="66"/>
      <c r="R2" s="66"/>
    </row>
    <row r="3" ht="17.5" customHeight="1" spans="1:18">
      <c r="A3" s="23" t="s">
        <v>279</v>
      </c>
      <c r="B3" s="24"/>
      <c r="C3" s="25" t="s">
        <v>280</v>
      </c>
      <c r="D3" s="22"/>
      <c r="E3" s="39"/>
      <c r="F3" s="40" t="s">
        <v>281</v>
      </c>
      <c r="G3" s="29"/>
      <c r="H3" s="29"/>
      <c r="I3" s="51"/>
      <c r="J3" s="52"/>
      <c r="K3" s="23" t="s">
        <v>282</v>
      </c>
      <c r="L3" s="24"/>
      <c r="M3" s="26"/>
      <c r="N3" s="27"/>
      <c r="O3" s="30"/>
      <c r="P3" s="29"/>
      <c r="Q3" s="66"/>
      <c r="R3" s="66"/>
    </row>
    <row r="4" spans="1:18">
      <c r="A4" s="23" t="s">
        <v>283</v>
      </c>
      <c r="B4" s="24"/>
      <c r="C4" s="26"/>
      <c r="D4" s="27"/>
      <c r="E4" s="27"/>
      <c r="F4" s="27"/>
      <c r="G4" s="27"/>
      <c r="H4" s="30"/>
      <c r="I4" s="51"/>
      <c r="J4" s="52"/>
      <c r="K4" s="23" t="s">
        <v>284</v>
      </c>
      <c r="L4" s="24"/>
      <c r="M4" s="60"/>
      <c r="N4" s="60"/>
      <c r="O4" s="60"/>
      <c r="P4" s="60"/>
      <c r="Q4" s="66"/>
      <c r="R4" s="66"/>
    </row>
    <row r="5" spans="1:18">
      <c r="A5" s="23" t="s">
        <v>285</v>
      </c>
      <c r="B5" s="24"/>
      <c r="C5" s="28"/>
      <c r="D5" s="22"/>
      <c r="E5" s="39"/>
      <c r="F5" s="40" t="s">
        <v>286</v>
      </c>
      <c r="G5" s="41">
        <v>7008750</v>
      </c>
      <c r="H5" s="21"/>
      <c r="I5" s="51"/>
      <c r="J5" s="52"/>
      <c r="K5" s="23" t="s">
        <v>287</v>
      </c>
      <c r="L5" s="24"/>
      <c r="M5" s="61"/>
      <c r="N5" s="29"/>
      <c r="O5" s="29"/>
      <c r="P5" s="29"/>
      <c r="Q5" s="66"/>
      <c r="R5" s="66"/>
    </row>
    <row r="6" spans="1:18">
      <c r="A6" s="23" t="s">
        <v>288</v>
      </c>
      <c r="B6" s="24"/>
      <c r="C6" s="29"/>
      <c r="D6" s="29"/>
      <c r="E6" s="29"/>
      <c r="F6" s="40" t="s">
        <v>289</v>
      </c>
      <c r="G6" s="42"/>
      <c r="H6" s="43"/>
      <c r="I6" s="51"/>
      <c r="J6" s="52"/>
      <c r="K6" s="23" t="s">
        <v>290</v>
      </c>
      <c r="L6" s="24"/>
      <c r="M6" s="29"/>
      <c r="N6" s="29"/>
      <c r="O6" s="29"/>
      <c r="P6" s="29"/>
      <c r="Q6" s="66"/>
      <c r="R6" s="66"/>
    </row>
    <row r="7" spans="1:18">
      <c r="A7" s="23" t="s">
        <v>291</v>
      </c>
      <c r="B7" s="24"/>
      <c r="C7" s="26" t="s">
        <v>292</v>
      </c>
      <c r="D7" s="30"/>
      <c r="E7" s="29"/>
      <c r="F7" s="40" t="s">
        <v>281</v>
      </c>
      <c r="G7" s="29"/>
      <c r="H7" s="29"/>
      <c r="I7" s="53"/>
      <c r="J7" s="54"/>
      <c r="K7" s="23" t="s">
        <v>293</v>
      </c>
      <c r="L7" s="24"/>
      <c r="M7" s="29"/>
      <c r="N7" s="29"/>
      <c r="O7" s="29"/>
      <c r="P7" s="29"/>
      <c r="Q7" s="66"/>
      <c r="R7" s="66"/>
    </row>
    <row r="8" ht="34" spans="1:18">
      <c r="A8" s="31" t="s">
        <v>294</v>
      </c>
      <c r="B8" s="31" t="s">
        <v>285</v>
      </c>
      <c r="C8" s="31" t="s">
        <v>255</v>
      </c>
      <c r="D8" s="31" t="s">
        <v>295</v>
      </c>
      <c r="E8" s="31" t="s">
        <v>296</v>
      </c>
      <c r="F8" s="31" t="s">
        <v>297</v>
      </c>
      <c r="G8" s="31" t="s">
        <v>298</v>
      </c>
      <c r="H8" s="31" t="s">
        <v>299</v>
      </c>
      <c r="I8" s="31" t="s">
        <v>1</v>
      </c>
      <c r="J8" s="31" t="s">
        <v>300</v>
      </c>
      <c r="K8" s="31" t="s">
        <v>5</v>
      </c>
      <c r="L8" s="31" t="s">
        <v>3</v>
      </c>
      <c r="M8" s="31" t="s">
        <v>301</v>
      </c>
      <c r="N8" s="62" t="s">
        <v>302</v>
      </c>
      <c r="O8" s="31" t="s">
        <v>303</v>
      </c>
      <c r="P8" s="31" t="s">
        <v>304</v>
      </c>
      <c r="Q8" s="31" t="s">
        <v>256</v>
      </c>
      <c r="R8" s="31" t="s">
        <v>305</v>
      </c>
    </row>
    <row r="9" spans="1:18">
      <c r="A9" s="32">
        <v>1</v>
      </c>
      <c r="B9" s="33"/>
      <c r="C9" s="34"/>
      <c r="D9" s="35"/>
      <c r="E9" s="44"/>
      <c r="F9" s="44"/>
      <c r="G9" s="45">
        <v>0</v>
      </c>
      <c r="H9" s="46">
        <f>G9*F9*E9/144</f>
        <v>0</v>
      </c>
      <c r="I9" s="55" t="s">
        <v>125</v>
      </c>
      <c r="J9" s="29" t="s">
        <v>129</v>
      </c>
      <c r="K9" s="56">
        <f>_xlfn.IFNA(VLOOKUP($J9,'Article Master'!$C:$F,4,0),0)</f>
        <v>18</v>
      </c>
      <c r="L9" s="56">
        <f>_xlfn.IFNA(VLOOKUP($J9,'Article Master'!$C:$F,2,0),0)</f>
        <v>720000045</v>
      </c>
      <c r="M9" s="46">
        <f t="shared" ref="M9" si="0">K9*H9</f>
        <v>0</v>
      </c>
      <c r="N9" s="63">
        <f>_xlfn.IFNA(VLOOKUP($J9,'Article Master'!$C:$F,3,0),0)</f>
        <v>0.18</v>
      </c>
      <c r="O9" s="46">
        <f t="shared" ref="O9" si="1">N9*M9</f>
        <v>0</v>
      </c>
      <c r="P9" s="46">
        <f t="shared" ref="P9" si="2">O9+M9</f>
        <v>0</v>
      </c>
      <c r="Q9" s="29"/>
      <c r="R9" s="29"/>
    </row>
    <row r="10" spans="1:18">
      <c r="A10" s="32">
        <f>A9+1</f>
        <v>2</v>
      </c>
      <c r="B10" s="33"/>
      <c r="C10" s="34"/>
      <c r="D10" s="35"/>
      <c r="E10" s="44"/>
      <c r="F10" s="44"/>
      <c r="G10" s="45">
        <v>0</v>
      </c>
      <c r="H10" s="46">
        <f t="shared" ref="H10:H43" si="3">G10*F10*E10/144</f>
        <v>0</v>
      </c>
      <c r="I10" s="55" t="s">
        <v>75</v>
      </c>
      <c r="J10" s="29" t="s">
        <v>79</v>
      </c>
      <c r="K10" s="56">
        <f>_xlfn.IFNA(VLOOKUP($J10,'Article Master'!$C:$F,4,0),0)</f>
        <v>45</v>
      </c>
      <c r="L10" s="56">
        <f>_xlfn.IFNA(VLOOKUP($J10,'Article Master'!$C:$F,2,0),0)</f>
        <v>720002030</v>
      </c>
      <c r="M10" s="46">
        <f t="shared" ref="M10:M19" si="4">K10*H10</f>
        <v>0</v>
      </c>
      <c r="N10" s="63">
        <f>_xlfn.IFNA(VLOOKUP($J10,'Article Master'!$C:$F,3,0),0)</f>
        <v>0.18</v>
      </c>
      <c r="O10" s="46">
        <f t="shared" ref="O10:O43" si="5">N10*M10</f>
        <v>0</v>
      </c>
      <c r="P10" s="46">
        <f t="shared" ref="P10:P43" si="6">O10+M10</f>
        <v>0</v>
      </c>
      <c r="Q10" s="29"/>
      <c r="R10" s="29"/>
    </row>
    <row r="11" spans="1:18">
      <c r="A11" s="32">
        <f t="shared" ref="A11:A43" si="7">A10+1</f>
        <v>3</v>
      </c>
      <c r="B11" s="33"/>
      <c r="C11" s="34"/>
      <c r="D11" s="35"/>
      <c r="E11" s="44"/>
      <c r="F11" s="44"/>
      <c r="G11" s="45">
        <v>0</v>
      </c>
      <c r="H11" s="46">
        <f t="shared" si="3"/>
        <v>0</v>
      </c>
      <c r="I11" s="55" t="s">
        <v>75</v>
      </c>
      <c r="J11" s="29" t="s">
        <v>79</v>
      </c>
      <c r="K11" s="56">
        <f>_xlfn.IFNA(VLOOKUP($J11,'Article Master'!$C:$F,4,0),0)</f>
        <v>45</v>
      </c>
      <c r="L11" s="56">
        <f>_xlfn.IFNA(VLOOKUP($J11,'Article Master'!$C:$F,2,0),0)</f>
        <v>720002030</v>
      </c>
      <c r="M11" s="46">
        <f t="shared" si="4"/>
        <v>0</v>
      </c>
      <c r="N11" s="63">
        <f>_xlfn.IFNA(VLOOKUP($J11,'Article Master'!$C:$F,3,0),0)</f>
        <v>0.18</v>
      </c>
      <c r="O11" s="46">
        <f t="shared" si="5"/>
        <v>0</v>
      </c>
      <c r="P11" s="46">
        <f t="shared" si="6"/>
        <v>0</v>
      </c>
      <c r="Q11" s="29"/>
      <c r="R11" s="29"/>
    </row>
    <row r="12" spans="1:18">
      <c r="A12" s="32">
        <f t="shared" si="7"/>
        <v>4</v>
      </c>
      <c r="B12" s="33"/>
      <c r="C12" s="34"/>
      <c r="D12" s="35"/>
      <c r="E12" s="44"/>
      <c r="F12" s="44"/>
      <c r="G12" s="45">
        <v>0</v>
      </c>
      <c r="H12" s="46">
        <f t="shared" si="3"/>
        <v>0</v>
      </c>
      <c r="I12" s="55" t="s">
        <v>75</v>
      </c>
      <c r="J12" s="29" t="s">
        <v>79</v>
      </c>
      <c r="K12" s="56">
        <f>_xlfn.IFNA(VLOOKUP($J12,'Article Master'!$C:$F,4,0),0)</f>
        <v>45</v>
      </c>
      <c r="L12" s="56">
        <f>_xlfn.IFNA(VLOOKUP($J12,'Article Master'!$C:$F,2,0),0)</f>
        <v>720002030</v>
      </c>
      <c r="M12" s="46">
        <f t="shared" si="4"/>
        <v>0</v>
      </c>
      <c r="N12" s="63">
        <f>_xlfn.IFNA(VLOOKUP($J12,'Article Master'!$C:$F,3,0),0)</f>
        <v>0.18</v>
      </c>
      <c r="O12" s="46">
        <f t="shared" si="5"/>
        <v>0</v>
      </c>
      <c r="P12" s="46">
        <f t="shared" si="6"/>
        <v>0</v>
      </c>
      <c r="Q12" s="29"/>
      <c r="R12" s="29"/>
    </row>
    <row r="13" spans="1:18">
      <c r="A13" s="32">
        <f t="shared" si="7"/>
        <v>5</v>
      </c>
      <c r="B13" s="33"/>
      <c r="C13" s="34"/>
      <c r="D13" s="35"/>
      <c r="E13" s="44"/>
      <c r="F13" s="44"/>
      <c r="G13" s="45">
        <v>0</v>
      </c>
      <c r="H13" s="46">
        <f t="shared" si="3"/>
        <v>0</v>
      </c>
      <c r="I13" s="55" t="s">
        <v>75</v>
      </c>
      <c r="J13" s="29" t="s">
        <v>79</v>
      </c>
      <c r="K13" s="56">
        <f>_xlfn.IFNA(VLOOKUP($J13,'Article Master'!$C:$F,4,0),0)</f>
        <v>45</v>
      </c>
      <c r="L13" s="56">
        <f>_xlfn.IFNA(VLOOKUP($J13,'Article Master'!$C:$F,2,0),0)</f>
        <v>720002030</v>
      </c>
      <c r="M13" s="46">
        <f t="shared" si="4"/>
        <v>0</v>
      </c>
      <c r="N13" s="63">
        <f>_xlfn.IFNA(VLOOKUP($J13,'Article Master'!$C:$F,3,0),0)</f>
        <v>0.18</v>
      </c>
      <c r="O13" s="46">
        <f t="shared" si="5"/>
        <v>0</v>
      </c>
      <c r="P13" s="46">
        <f t="shared" si="6"/>
        <v>0</v>
      </c>
      <c r="Q13" s="29"/>
      <c r="R13" s="29"/>
    </row>
    <row r="14" spans="1:18">
      <c r="A14" s="32">
        <f t="shared" si="7"/>
        <v>6</v>
      </c>
      <c r="B14" s="33"/>
      <c r="C14" s="34"/>
      <c r="D14" s="35"/>
      <c r="E14" s="44"/>
      <c r="F14" s="44"/>
      <c r="G14" s="45">
        <v>0</v>
      </c>
      <c r="H14" s="46">
        <f t="shared" si="3"/>
        <v>0</v>
      </c>
      <c r="I14" s="55" t="s">
        <v>75</v>
      </c>
      <c r="J14" s="29" t="s">
        <v>79</v>
      </c>
      <c r="K14" s="56">
        <f>_xlfn.IFNA(VLOOKUP($J14,'Article Master'!$C:$F,4,0),0)</f>
        <v>45</v>
      </c>
      <c r="L14" s="56">
        <f>_xlfn.IFNA(VLOOKUP($J14,'Article Master'!$C:$F,2,0),0)</f>
        <v>720002030</v>
      </c>
      <c r="M14" s="46">
        <f t="shared" si="4"/>
        <v>0</v>
      </c>
      <c r="N14" s="63">
        <f>_xlfn.IFNA(VLOOKUP($J14,'Article Master'!$C:$F,3,0),0)</f>
        <v>0.18</v>
      </c>
      <c r="O14" s="46">
        <f t="shared" si="5"/>
        <v>0</v>
      </c>
      <c r="P14" s="46">
        <f t="shared" si="6"/>
        <v>0</v>
      </c>
      <c r="Q14" s="29"/>
      <c r="R14" s="29"/>
    </row>
    <row r="15" spans="1:18">
      <c r="A15" s="32">
        <f t="shared" si="7"/>
        <v>7</v>
      </c>
      <c r="B15" s="33"/>
      <c r="C15" s="34"/>
      <c r="D15" s="35"/>
      <c r="E15" s="44"/>
      <c r="F15" s="44"/>
      <c r="G15" s="45">
        <v>0</v>
      </c>
      <c r="H15" s="46">
        <f t="shared" si="3"/>
        <v>0</v>
      </c>
      <c r="I15" s="55" t="s">
        <v>75</v>
      </c>
      <c r="J15" s="29" t="s">
        <v>79</v>
      </c>
      <c r="K15" s="56">
        <f>_xlfn.IFNA(VLOOKUP($J15,'Article Master'!$C:$F,4,0),0)</f>
        <v>45</v>
      </c>
      <c r="L15" s="56">
        <f>_xlfn.IFNA(VLOOKUP($J15,'Article Master'!$C:$F,2,0),0)</f>
        <v>720002030</v>
      </c>
      <c r="M15" s="46">
        <f t="shared" si="4"/>
        <v>0</v>
      </c>
      <c r="N15" s="63">
        <f>_xlfn.IFNA(VLOOKUP($J15,'Article Master'!$C:$F,3,0),0)</f>
        <v>0.18</v>
      </c>
      <c r="O15" s="46">
        <f t="shared" si="5"/>
        <v>0</v>
      </c>
      <c r="P15" s="46">
        <f t="shared" si="6"/>
        <v>0</v>
      </c>
      <c r="Q15" s="29"/>
      <c r="R15" s="29"/>
    </row>
    <row r="16" spans="1:18">
      <c r="A16" s="32">
        <f t="shared" si="7"/>
        <v>8</v>
      </c>
      <c r="B16" s="33"/>
      <c r="C16" s="34"/>
      <c r="D16" s="35"/>
      <c r="E16" s="44"/>
      <c r="F16" s="44"/>
      <c r="G16" s="45">
        <v>0</v>
      </c>
      <c r="H16" s="46">
        <f t="shared" si="3"/>
        <v>0</v>
      </c>
      <c r="I16" s="55" t="s">
        <v>75</v>
      </c>
      <c r="J16" s="29" t="s">
        <v>79</v>
      </c>
      <c r="K16" s="56">
        <f>_xlfn.IFNA(VLOOKUP($J16,'Article Master'!$C:$F,4,0),0)</f>
        <v>45</v>
      </c>
      <c r="L16" s="56">
        <f>_xlfn.IFNA(VLOOKUP($J16,'Article Master'!$C:$F,2,0),0)</f>
        <v>720002030</v>
      </c>
      <c r="M16" s="46">
        <f t="shared" ref="M16" si="8">K16*H16</f>
        <v>0</v>
      </c>
      <c r="N16" s="63">
        <f>_xlfn.IFNA(VLOOKUP($J16,'Article Master'!$C:$F,3,0),0)</f>
        <v>0.18</v>
      </c>
      <c r="O16" s="46">
        <f t="shared" si="5"/>
        <v>0</v>
      </c>
      <c r="P16" s="46">
        <f t="shared" si="6"/>
        <v>0</v>
      </c>
      <c r="Q16" s="29"/>
      <c r="R16" s="29"/>
    </row>
    <row r="17" spans="1:18">
      <c r="A17" s="32">
        <f t="shared" si="7"/>
        <v>9</v>
      </c>
      <c r="B17" s="33"/>
      <c r="C17" s="34"/>
      <c r="D17" s="35"/>
      <c r="E17" s="44"/>
      <c r="F17" s="44"/>
      <c r="G17" s="45">
        <v>0</v>
      </c>
      <c r="H17" s="46">
        <f t="shared" si="3"/>
        <v>0</v>
      </c>
      <c r="I17" s="55" t="s">
        <v>75</v>
      </c>
      <c r="J17" s="29" t="s">
        <v>79</v>
      </c>
      <c r="K17" s="56">
        <f>_xlfn.IFNA(VLOOKUP($J17,'Article Master'!$C:$F,4,0),0)</f>
        <v>45</v>
      </c>
      <c r="L17" s="56">
        <f>_xlfn.IFNA(VLOOKUP($J17,'Article Master'!$C:$F,2,0),0)</f>
        <v>720002030</v>
      </c>
      <c r="M17" s="46">
        <f t="shared" si="4"/>
        <v>0</v>
      </c>
      <c r="N17" s="63">
        <f>_xlfn.IFNA(VLOOKUP($J17,'Article Master'!$C:$F,3,0),0)</f>
        <v>0.18</v>
      </c>
      <c r="O17" s="46">
        <f t="shared" si="5"/>
        <v>0</v>
      </c>
      <c r="P17" s="46">
        <f t="shared" si="6"/>
        <v>0</v>
      </c>
      <c r="Q17" s="29"/>
      <c r="R17" s="29"/>
    </row>
    <row r="18" spans="1:18">
      <c r="A18" s="32">
        <f t="shared" si="7"/>
        <v>10</v>
      </c>
      <c r="B18" s="33"/>
      <c r="C18" s="34"/>
      <c r="D18" s="35"/>
      <c r="E18" s="44"/>
      <c r="F18" s="44"/>
      <c r="G18" s="45">
        <v>0</v>
      </c>
      <c r="H18" s="46">
        <f t="shared" si="3"/>
        <v>0</v>
      </c>
      <c r="I18" s="55" t="s">
        <v>75</v>
      </c>
      <c r="J18" s="29" t="s">
        <v>79</v>
      </c>
      <c r="K18" s="56">
        <f>_xlfn.IFNA(VLOOKUP($J18,'Article Master'!$C:$F,4,0),0)</f>
        <v>45</v>
      </c>
      <c r="L18" s="56">
        <f>_xlfn.IFNA(VLOOKUP($J18,'Article Master'!$C:$F,2,0),0)</f>
        <v>720002030</v>
      </c>
      <c r="M18" s="46">
        <f t="shared" si="4"/>
        <v>0</v>
      </c>
      <c r="N18" s="63">
        <f>_xlfn.IFNA(VLOOKUP($J18,'Article Master'!$C:$F,3,0),0)</f>
        <v>0.18</v>
      </c>
      <c r="O18" s="46">
        <f t="shared" si="5"/>
        <v>0</v>
      </c>
      <c r="P18" s="46">
        <f t="shared" si="6"/>
        <v>0</v>
      </c>
      <c r="Q18" s="29"/>
      <c r="R18" s="29"/>
    </row>
    <row r="19" spans="1:18">
      <c r="A19" s="32">
        <f t="shared" si="7"/>
        <v>11</v>
      </c>
      <c r="B19" s="33"/>
      <c r="C19" s="34"/>
      <c r="D19" s="35"/>
      <c r="E19" s="44"/>
      <c r="F19" s="44"/>
      <c r="G19" s="45">
        <v>0</v>
      </c>
      <c r="H19" s="46">
        <f t="shared" si="3"/>
        <v>0</v>
      </c>
      <c r="I19" s="55" t="s">
        <v>75</v>
      </c>
      <c r="J19" s="29" t="s">
        <v>79</v>
      </c>
      <c r="K19" s="56">
        <f>_xlfn.IFNA(VLOOKUP($J19,'Article Master'!$C:$F,4,0),0)</f>
        <v>45</v>
      </c>
      <c r="L19" s="56">
        <f>_xlfn.IFNA(VLOOKUP($J19,'Article Master'!$C:$F,2,0),0)</f>
        <v>720002030</v>
      </c>
      <c r="M19" s="46">
        <f t="shared" si="4"/>
        <v>0</v>
      </c>
      <c r="N19" s="63">
        <f>_xlfn.IFNA(VLOOKUP($J19,'Article Master'!$C:$F,3,0),0)</f>
        <v>0.18</v>
      </c>
      <c r="O19" s="46">
        <f t="shared" si="5"/>
        <v>0</v>
      </c>
      <c r="P19" s="46">
        <f t="shared" si="6"/>
        <v>0</v>
      </c>
      <c r="Q19" s="29"/>
      <c r="R19" s="29"/>
    </row>
    <row r="20" spans="1:18">
      <c r="A20" s="32">
        <f t="shared" si="7"/>
        <v>12</v>
      </c>
      <c r="B20" s="33"/>
      <c r="C20" s="34"/>
      <c r="D20" s="35"/>
      <c r="E20" s="44"/>
      <c r="F20" s="44"/>
      <c r="G20" s="45">
        <v>0</v>
      </c>
      <c r="H20" s="46">
        <f t="shared" si="3"/>
        <v>0</v>
      </c>
      <c r="I20" s="55" t="s">
        <v>75</v>
      </c>
      <c r="J20" s="29" t="s">
        <v>79</v>
      </c>
      <c r="K20" s="56">
        <f>_xlfn.IFNA(VLOOKUP($J20,'Article Master'!$C:$F,4,0),0)</f>
        <v>45</v>
      </c>
      <c r="L20" s="56">
        <f>_xlfn.IFNA(VLOOKUP($J20,'Article Master'!$C:$F,2,0),0)</f>
        <v>720002030</v>
      </c>
      <c r="M20" s="46">
        <f t="shared" ref="M20:M37" si="9">K20*H20</f>
        <v>0</v>
      </c>
      <c r="N20" s="63">
        <f>_xlfn.IFNA(VLOOKUP($J20,'Article Master'!$C:$F,3,0),0)</f>
        <v>0.18</v>
      </c>
      <c r="O20" s="46">
        <f t="shared" si="5"/>
        <v>0</v>
      </c>
      <c r="P20" s="46">
        <f t="shared" si="6"/>
        <v>0</v>
      </c>
      <c r="Q20" s="29"/>
      <c r="R20" s="29"/>
    </row>
    <row r="21" spans="1:18">
      <c r="A21" s="32">
        <f t="shared" si="7"/>
        <v>13</v>
      </c>
      <c r="B21" s="33"/>
      <c r="C21" s="34"/>
      <c r="D21" s="35"/>
      <c r="E21" s="44"/>
      <c r="F21" s="44"/>
      <c r="G21" s="45">
        <v>0</v>
      </c>
      <c r="H21" s="46">
        <f t="shared" si="3"/>
        <v>0</v>
      </c>
      <c r="I21" s="55" t="s">
        <v>75</v>
      </c>
      <c r="J21" s="29" t="s">
        <v>79</v>
      </c>
      <c r="K21" s="56">
        <f>_xlfn.IFNA(VLOOKUP($J21,'Article Master'!$C:$F,4,0),0)</f>
        <v>45</v>
      </c>
      <c r="L21" s="56">
        <f>_xlfn.IFNA(VLOOKUP($J21,'Article Master'!$C:$F,2,0),0)</f>
        <v>720002030</v>
      </c>
      <c r="M21" s="46">
        <f t="shared" si="9"/>
        <v>0</v>
      </c>
      <c r="N21" s="63">
        <f>_xlfn.IFNA(VLOOKUP($J21,'Article Master'!$C:$F,3,0),0)</f>
        <v>0.18</v>
      </c>
      <c r="O21" s="46">
        <f t="shared" si="5"/>
        <v>0</v>
      </c>
      <c r="P21" s="46">
        <f t="shared" si="6"/>
        <v>0</v>
      </c>
      <c r="Q21" s="29"/>
      <c r="R21" s="29"/>
    </row>
    <row r="22" spans="1:18">
      <c r="A22" s="32">
        <f t="shared" si="7"/>
        <v>14</v>
      </c>
      <c r="B22" s="33"/>
      <c r="C22" s="34"/>
      <c r="D22" s="35"/>
      <c r="E22" s="44"/>
      <c r="F22" s="44"/>
      <c r="G22" s="45">
        <v>0</v>
      </c>
      <c r="H22" s="46">
        <f t="shared" si="3"/>
        <v>0</v>
      </c>
      <c r="I22" s="55" t="s">
        <v>75</v>
      </c>
      <c r="J22" s="29" t="s">
        <v>79</v>
      </c>
      <c r="K22" s="56">
        <f>_xlfn.IFNA(VLOOKUP($J22,'Article Master'!$C:$F,4,0),0)</f>
        <v>45</v>
      </c>
      <c r="L22" s="56">
        <f>_xlfn.IFNA(VLOOKUP($J22,'Article Master'!$C:$F,2,0),0)</f>
        <v>720002030</v>
      </c>
      <c r="M22" s="46">
        <f t="shared" si="9"/>
        <v>0</v>
      </c>
      <c r="N22" s="63">
        <f>_xlfn.IFNA(VLOOKUP($J22,'Article Master'!$C:$F,3,0),0)</f>
        <v>0.18</v>
      </c>
      <c r="O22" s="46">
        <f t="shared" si="5"/>
        <v>0</v>
      </c>
      <c r="P22" s="46">
        <f t="shared" si="6"/>
        <v>0</v>
      </c>
      <c r="Q22" s="29"/>
      <c r="R22" s="29"/>
    </row>
    <row r="23" spans="1:18">
      <c r="A23" s="32">
        <f t="shared" si="7"/>
        <v>15</v>
      </c>
      <c r="B23" s="33"/>
      <c r="C23" s="34"/>
      <c r="D23" s="35"/>
      <c r="E23" s="44"/>
      <c r="F23" s="44"/>
      <c r="G23" s="45">
        <v>0</v>
      </c>
      <c r="H23" s="46">
        <f t="shared" si="3"/>
        <v>0</v>
      </c>
      <c r="I23" s="55" t="s">
        <v>75</v>
      </c>
      <c r="J23" s="29" t="s">
        <v>79</v>
      </c>
      <c r="K23" s="56">
        <f>_xlfn.IFNA(VLOOKUP($J23,'Article Master'!$C:$F,4,0),0)</f>
        <v>45</v>
      </c>
      <c r="L23" s="56">
        <f>_xlfn.IFNA(VLOOKUP($J23,'Article Master'!$C:$F,2,0),0)</f>
        <v>720002030</v>
      </c>
      <c r="M23" s="46">
        <f t="shared" si="9"/>
        <v>0</v>
      </c>
      <c r="N23" s="63">
        <f>_xlfn.IFNA(VLOOKUP($J23,'Article Master'!$C:$F,3,0),0)</f>
        <v>0.18</v>
      </c>
      <c r="O23" s="46">
        <f t="shared" si="5"/>
        <v>0</v>
      </c>
      <c r="P23" s="46">
        <f t="shared" si="6"/>
        <v>0</v>
      </c>
      <c r="Q23" s="29"/>
      <c r="R23" s="29"/>
    </row>
    <row r="24" spans="1:18">
      <c r="A24" s="32">
        <f t="shared" si="7"/>
        <v>16</v>
      </c>
      <c r="B24" s="33"/>
      <c r="C24" s="34"/>
      <c r="D24" s="35"/>
      <c r="E24" s="44"/>
      <c r="F24" s="44"/>
      <c r="G24" s="45">
        <v>0</v>
      </c>
      <c r="H24" s="46">
        <f t="shared" si="3"/>
        <v>0</v>
      </c>
      <c r="I24" s="55" t="s">
        <v>75</v>
      </c>
      <c r="J24" s="29" t="s">
        <v>79</v>
      </c>
      <c r="K24" s="56">
        <f>_xlfn.IFNA(VLOOKUP($J24,'Article Master'!$C:$F,4,0),0)</f>
        <v>45</v>
      </c>
      <c r="L24" s="56">
        <f>_xlfn.IFNA(VLOOKUP($J24,'Article Master'!$C:$F,2,0),0)</f>
        <v>720002030</v>
      </c>
      <c r="M24" s="46">
        <f t="shared" si="9"/>
        <v>0</v>
      </c>
      <c r="N24" s="63">
        <f>_xlfn.IFNA(VLOOKUP($J24,'Article Master'!$C:$F,3,0),0)</f>
        <v>0.18</v>
      </c>
      <c r="O24" s="46">
        <f t="shared" si="5"/>
        <v>0</v>
      </c>
      <c r="P24" s="46">
        <f t="shared" si="6"/>
        <v>0</v>
      </c>
      <c r="Q24" s="29"/>
      <c r="R24" s="29"/>
    </row>
    <row r="25" spans="1:18">
      <c r="A25" s="32">
        <f t="shared" si="7"/>
        <v>17</v>
      </c>
      <c r="B25" s="33"/>
      <c r="C25" s="34"/>
      <c r="D25" s="35"/>
      <c r="E25" s="44"/>
      <c r="F25" s="44"/>
      <c r="G25" s="45">
        <v>0</v>
      </c>
      <c r="H25" s="46">
        <f t="shared" si="3"/>
        <v>0</v>
      </c>
      <c r="I25" s="55" t="s">
        <v>75</v>
      </c>
      <c r="J25" s="29" t="s">
        <v>79</v>
      </c>
      <c r="K25" s="56">
        <f>_xlfn.IFNA(VLOOKUP($J25,'Article Master'!$C:$F,4,0),0)</f>
        <v>45</v>
      </c>
      <c r="L25" s="56">
        <f>_xlfn.IFNA(VLOOKUP($J25,'Article Master'!$C:$F,2,0),0)</f>
        <v>720002030</v>
      </c>
      <c r="M25" s="46">
        <f t="shared" si="9"/>
        <v>0</v>
      </c>
      <c r="N25" s="63">
        <f>_xlfn.IFNA(VLOOKUP($J25,'Article Master'!$C:$F,3,0),0)</f>
        <v>0.18</v>
      </c>
      <c r="O25" s="46">
        <f t="shared" si="5"/>
        <v>0</v>
      </c>
      <c r="P25" s="46">
        <f t="shared" si="6"/>
        <v>0</v>
      </c>
      <c r="Q25" s="29"/>
      <c r="R25" s="29"/>
    </row>
    <row r="26" spans="1:18">
      <c r="A26" s="32">
        <f t="shared" si="7"/>
        <v>18</v>
      </c>
      <c r="B26" s="33"/>
      <c r="C26" s="34"/>
      <c r="D26" s="35"/>
      <c r="E26" s="44"/>
      <c r="F26" s="44"/>
      <c r="G26" s="45">
        <v>0</v>
      </c>
      <c r="H26" s="46">
        <f t="shared" ref="H26:H34" si="10">G26*F26*E26/144</f>
        <v>0</v>
      </c>
      <c r="I26" s="55" t="s">
        <v>75</v>
      </c>
      <c r="J26" s="29" t="s">
        <v>79</v>
      </c>
      <c r="K26" s="56">
        <f>_xlfn.IFNA(VLOOKUP($J26,'Article Master'!$C:$F,4,0),0)</f>
        <v>45</v>
      </c>
      <c r="L26" s="56">
        <f>_xlfn.IFNA(VLOOKUP($J26,'Article Master'!$C:$F,2,0),0)</f>
        <v>720002030</v>
      </c>
      <c r="M26" s="46">
        <f t="shared" ref="M26:M34" si="11">K26*H26</f>
        <v>0</v>
      </c>
      <c r="N26" s="63">
        <f>_xlfn.IFNA(VLOOKUP($J26,'Article Master'!$C:$F,3,0),0)</f>
        <v>0.18</v>
      </c>
      <c r="O26" s="46">
        <f t="shared" ref="O26:O34" si="12">N26*M26</f>
        <v>0</v>
      </c>
      <c r="P26" s="46">
        <f t="shared" ref="P26:P34" si="13">O26+M26</f>
        <v>0</v>
      </c>
      <c r="Q26" s="29"/>
      <c r="R26" s="29"/>
    </row>
    <row r="27" spans="1:18">
      <c r="A27" s="32">
        <f t="shared" si="7"/>
        <v>19</v>
      </c>
      <c r="B27" s="33"/>
      <c r="C27" s="34"/>
      <c r="D27" s="35"/>
      <c r="E27" s="44"/>
      <c r="F27" s="44"/>
      <c r="G27" s="45">
        <v>0</v>
      </c>
      <c r="H27" s="46">
        <f t="shared" si="10"/>
        <v>0</v>
      </c>
      <c r="I27" s="55" t="s">
        <v>75</v>
      </c>
      <c r="J27" s="29" t="s">
        <v>79</v>
      </c>
      <c r="K27" s="56">
        <f>_xlfn.IFNA(VLOOKUP($J27,'Article Master'!$C:$F,4,0),0)</f>
        <v>45</v>
      </c>
      <c r="L27" s="56">
        <f>_xlfn.IFNA(VLOOKUP($J27,'Article Master'!$C:$F,2,0),0)</f>
        <v>720002030</v>
      </c>
      <c r="M27" s="46">
        <f t="shared" si="11"/>
        <v>0</v>
      </c>
      <c r="N27" s="63">
        <f>_xlfn.IFNA(VLOOKUP($J27,'Article Master'!$C:$F,3,0),0)</f>
        <v>0.18</v>
      </c>
      <c r="O27" s="46">
        <f t="shared" si="12"/>
        <v>0</v>
      </c>
      <c r="P27" s="46">
        <f t="shared" si="13"/>
        <v>0</v>
      </c>
      <c r="Q27" s="29"/>
      <c r="R27" s="29"/>
    </row>
    <row r="28" spans="1:18">
      <c r="A28" s="32">
        <f t="shared" si="7"/>
        <v>20</v>
      </c>
      <c r="B28" s="33"/>
      <c r="C28" s="34"/>
      <c r="D28" s="35"/>
      <c r="E28" s="44"/>
      <c r="F28" s="44"/>
      <c r="G28" s="45">
        <v>0</v>
      </c>
      <c r="H28" s="46">
        <f t="shared" ref="H28:H29" si="14">G28*F28*E28/144</f>
        <v>0</v>
      </c>
      <c r="I28" s="55" t="s">
        <v>75</v>
      </c>
      <c r="J28" s="29" t="s">
        <v>79</v>
      </c>
      <c r="K28" s="56">
        <f>_xlfn.IFNA(VLOOKUP($J28,'Article Master'!$C:$F,4,0),0)</f>
        <v>45</v>
      </c>
      <c r="L28" s="56">
        <f>_xlfn.IFNA(VLOOKUP($J28,'Article Master'!$C:$F,2,0),0)</f>
        <v>720002030</v>
      </c>
      <c r="M28" s="46">
        <f t="shared" ref="M28:M29" si="15">K28*H28</f>
        <v>0</v>
      </c>
      <c r="N28" s="63">
        <f>_xlfn.IFNA(VLOOKUP($J28,'Article Master'!$C:$F,3,0),0)</f>
        <v>0.18</v>
      </c>
      <c r="O28" s="46">
        <f t="shared" ref="O28:O29" si="16">N28*M28</f>
        <v>0</v>
      </c>
      <c r="P28" s="46">
        <f t="shared" ref="P28:P29" si="17">O28+M28</f>
        <v>0</v>
      </c>
      <c r="Q28" s="29"/>
      <c r="R28" s="29"/>
    </row>
    <row r="29" spans="1:18">
      <c r="A29" s="32">
        <f t="shared" si="7"/>
        <v>21</v>
      </c>
      <c r="B29" s="33"/>
      <c r="C29" s="34"/>
      <c r="D29" s="35"/>
      <c r="E29" s="44"/>
      <c r="F29" s="44"/>
      <c r="G29" s="45">
        <v>0</v>
      </c>
      <c r="H29" s="46">
        <f t="shared" si="14"/>
        <v>0</v>
      </c>
      <c r="I29" s="55" t="s">
        <v>75</v>
      </c>
      <c r="J29" s="29" t="s">
        <v>79</v>
      </c>
      <c r="K29" s="56">
        <f>_xlfn.IFNA(VLOOKUP($J29,'Article Master'!$C:$F,4,0),0)</f>
        <v>45</v>
      </c>
      <c r="L29" s="56">
        <f>_xlfn.IFNA(VLOOKUP($J29,'Article Master'!$C:$F,2,0),0)</f>
        <v>720002030</v>
      </c>
      <c r="M29" s="46">
        <f t="shared" si="15"/>
        <v>0</v>
      </c>
      <c r="N29" s="63">
        <f>_xlfn.IFNA(VLOOKUP($J29,'Article Master'!$C:$F,3,0),0)</f>
        <v>0.18</v>
      </c>
      <c r="O29" s="46">
        <f t="shared" si="16"/>
        <v>0</v>
      </c>
      <c r="P29" s="46">
        <f t="shared" si="17"/>
        <v>0</v>
      </c>
      <c r="Q29" s="29"/>
      <c r="R29" s="29"/>
    </row>
    <row r="30" spans="1:18">
      <c r="A30" s="32">
        <f t="shared" si="7"/>
        <v>22</v>
      </c>
      <c r="B30" s="33"/>
      <c r="C30" s="34"/>
      <c r="D30" s="35"/>
      <c r="E30" s="44"/>
      <c r="F30" s="44"/>
      <c r="G30" s="45">
        <v>0</v>
      </c>
      <c r="H30" s="46">
        <f t="shared" si="10"/>
        <v>0</v>
      </c>
      <c r="I30" s="55" t="s">
        <v>75</v>
      </c>
      <c r="J30" s="29" t="s">
        <v>79</v>
      </c>
      <c r="K30" s="56">
        <f>_xlfn.IFNA(VLOOKUP($J30,'Article Master'!$C:$F,4,0),0)</f>
        <v>45</v>
      </c>
      <c r="L30" s="56">
        <f>_xlfn.IFNA(VLOOKUP($J30,'Article Master'!$C:$F,2,0),0)</f>
        <v>720002030</v>
      </c>
      <c r="M30" s="46">
        <f t="shared" si="11"/>
        <v>0</v>
      </c>
      <c r="N30" s="63">
        <f>_xlfn.IFNA(VLOOKUP($J30,'Article Master'!$C:$F,3,0),0)</f>
        <v>0.18</v>
      </c>
      <c r="O30" s="46">
        <f t="shared" si="12"/>
        <v>0</v>
      </c>
      <c r="P30" s="46">
        <f t="shared" si="13"/>
        <v>0</v>
      </c>
      <c r="Q30" s="29"/>
      <c r="R30" s="29"/>
    </row>
    <row r="31" spans="1:18">
      <c r="A31" s="32">
        <f t="shared" si="7"/>
        <v>23</v>
      </c>
      <c r="B31" s="33"/>
      <c r="C31" s="34"/>
      <c r="D31" s="35"/>
      <c r="E31" s="44"/>
      <c r="F31" s="44"/>
      <c r="G31" s="45">
        <v>0</v>
      </c>
      <c r="H31" s="46">
        <f t="shared" si="10"/>
        <v>0</v>
      </c>
      <c r="I31" s="55" t="s">
        <v>75</v>
      </c>
      <c r="J31" s="29" t="s">
        <v>79</v>
      </c>
      <c r="K31" s="56">
        <f>_xlfn.IFNA(VLOOKUP($J31,'Article Master'!$C:$F,4,0),0)</f>
        <v>45</v>
      </c>
      <c r="L31" s="56">
        <f>_xlfn.IFNA(VLOOKUP($J31,'Article Master'!$C:$F,2,0),0)</f>
        <v>720002030</v>
      </c>
      <c r="M31" s="46">
        <f t="shared" si="11"/>
        <v>0</v>
      </c>
      <c r="N31" s="63">
        <f>_xlfn.IFNA(VLOOKUP($J31,'Article Master'!$C:$F,3,0),0)</f>
        <v>0.18</v>
      </c>
      <c r="O31" s="46">
        <f t="shared" si="12"/>
        <v>0</v>
      </c>
      <c r="P31" s="46">
        <f t="shared" si="13"/>
        <v>0</v>
      </c>
      <c r="Q31" s="29"/>
      <c r="R31" s="29"/>
    </row>
    <row r="32" spans="1:18">
      <c r="A32" s="32">
        <f t="shared" si="7"/>
        <v>24</v>
      </c>
      <c r="B32" s="33"/>
      <c r="C32" s="34"/>
      <c r="D32" s="35"/>
      <c r="E32" s="44"/>
      <c r="F32" s="44"/>
      <c r="G32" s="45">
        <v>0</v>
      </c>
      <c r="H32" s="46">
        <f t="shared" si="10"/>
        <v>0</v>
      </c>
      <c r="I32" s="55" t="s">
        <v>75</v>
      </c>
      <c r="J32" s="29" t="s">
        <v>79</v>
      </c>
      <c r="K32" s="56">
        <f>_xlfn.IFNA(VLOOKUP($J32,'Article Master'!$C:$F,4,0),0)</f>
        <v>45</v>
      </c>
      <c r="L32" s="56">
        <f>_xlfn.IFNA(VLOOKUP($J32,'Article Master'!$C:$F,2,0),0)</f>
        <v>720002030</v>
      </c>
      <c r="M32" s="46">
        <f t="shared" si="11"/>
        <v>0</v>
      </c>
      <c r="N32" s="63">
        <f>_xlfn.IFNA(VLOOKUP($J32,'Article Master'!$C:$F,3,0),0)</f>
        <v>0.18</v>
      </c>
      <c r="O32" s="46">
        <f t="shared" si="12"/>
        <v>0</v>
      </c>
      <c r="P32" s="46">
        <f t="shared" si="13"/>
        <v>0</v>
      </c>
      <c r="Q32" s="29"/>
      <c r="R32" s="29"/>
    </row>
    <row r="33" spans="1:18">
      <c r="A33" s="32">
        <f t="shared" si="7"/>
        <v>25</v>
      </c>
      <c r="B33" s="33"/>
      <c r="C33" s="34"/>
      <c r="D33" s="35"/>
      <c r="E33" s="44"/>
      <c r="F33" s="44"/>
      <c r="G33" s="45">
        <v>0</v>
      </c>
      <c r="H33" s="46">
        <f t="shared" si="10"/>
        <v>0</v>
      </c>
      <c r="I33" s="55" t="s">
        <v>75</v>
      </c>
      <c r="J33" s="29" t="s">
        <v>79</v>
      </c>
      <c r="K33" s="56">
        <f>_xlfn.IFNA(VLOOKUP($J33,'Article Master'!$C:$F,4,0),0)</f>
        <v>45</v>
      </c>
      <c r="L33" s="56">
        <f>_xlfn.IFNA(VLOOKUP($J33,'Article Master'!$C:$F,2,0),0)</f>
        <v>720002030</v>
      </c>
      <c r="M33" s="46">
        <f t="shared" si="11"/>
        <v>0</v>
      </c>
      <c r="N33" s="63">
        <f>_xlfn.IFNA(VLOOKUP($J33,'Article Master'!$C:$F,3,0),0)</f>
        <v>0.18</v>
      </c>
      <c r="O33" s="46">
        <f t="shared" si="12"/>
        <v>0</v>
      </c>
      <c r="P33" s="46">
        <f t="shared" si="13"/>
        <v>0</v>
      </c>
      <c r="Q33" s="29"/>
      <c r="R33" s="29"/>
    </row>
    <row r="34" spans="1:18">
      <c r="A34" s="32">
        <f t="shared" si="7"/>
        <v>26</v>
      </c>
      <c r="B34" s="33"/>
      <c r="C34" s="34"/>
      <c r="D34" s="35"/>
      <c r="E34" s="44"/>
      <c r="F34" s="44"/>
      <c r="G34" s="45">
        <v>0</v>
      </c>
      <c r="H34" s="46">
        <f t="shared" si="10"/>
        <v>0</v>
      </c>
      <c r="I34" s="55" t="s">
        <v>75</v>
      </c>
      <c r="J34" s="29" t="s">
        <v>79</v>
      </c>
      <c r="K34" s="56">
        <f>_xlfn.IFNA(VLOOKUP($J34,'Article Master'!$C:$F,4,0),0)</f>
        <v>45</v>
      </c>
      <c r="L34" s="56">
        <f>_xlfn.IFNA(VLOOKUP($J34,'Article Master'!$C:$F,2,0),0)</f>
        <v>720002030</v>
      </c>
      <c r="M34" s="46">
        <f t="shared" si="11"/>
        <v>0</v>
      </c>
      <c r="N34" s="63">
        <f>_xlfn.IFNA(VLOOKUP($J34,'Article Master'!$C:$F,3,0),0)</f>
        <v>0.18</v>
      </c>
      <c r="O34" s="46">
        <f t="shared" si="12"/>
        <v>0</v>
      </c>
      <c r="P34" s="46">
        <f t="shared" si="13"/>
        <v>0</v>
      </c>
      <c r="Q34" s="29"/>
      <c r="R34" s="29"/>
    </row>
    <row r="35" spans="1:18">
      <c r="A35" s="32">
        <f t="shared" si="7"/>
        <v>27</v>
      </c>
      <c r="B35" s="33"/>
      <c r="C35" s="34"/>
      <c r="D35" s="35"/>
      <c r="E35" s="44"/>
      <c r="F35" s="44"/>
      <c r="G35" s="45">
        <v>0</v>
      </c>
      <c r="H35" s="46">
        <f t="shared" si="3"/>
        <v>0</v>
      </c>
      <c r="I35" s="55" t="s">
        <v>75</v>
      </c>
      <c r="J35" s="29" t="s">
        <v>79</v>
      </c>
      <c r="K35" s="56">
        <f>_xlfn.IFNA(VLOOKUP($J35,'Article Master'!$C:$F,4,0),0)</f>
        <v>45</v>
      </c>
      <c r="L35" s="56">
        <f>_xlfn.IFNA(VLOOKUP($J35,'Article Master'!$C:$F,2,0),0)</f>
        <v>720002030</v>
      </c>
      <c r="M35" s="46">
        <f t="shared" si="9"/>
        <v>0</v>
      </c>
      <c r="N35" s="63">
        <f>_xlfn.IFNA(VLOOKUP($J35,'Article Master'!$C:$F,3,0),0)</f>
        <v>0.18</v>
      </c>
      <c r="O35" s="46">
        <f t="shared" si="5"/>
        <v>0</v>
      </c>
      <c r="P35" s="46">
        <f t="shared" si="6"/>
        <v>0</v>
      </c>
      <c r="Q35" s="29"/>
      <c r="R35" s="29"/>
    </row>
    <row r="36" spans="1:18">
      <c r="A36" s="32">
        <f t="shared" si="7"/>
        <v>28</v>
      </c>
      <c r="B36" s="33"/>
      <c r="C36" s="34"/>
      <c r="D36" s="35"/>
      <c r="E36" s="44"/>
      <c r="F36" s="44"/>
      <c r="G36" s="45">
        <v>0</v>
      </c>
      <c r="H36" s="46">
        <f t="shared" si="3"/>
        <v>0</v>
      </c>
      <c r="I36" s="55" t="s">
        <v>75</v>
      </c>
      <c r="J36" s="29" t="s">
        <v>79</v>
      </c>
      <c r="K36" s="56">
        <f>_xlfn.IFNA(VLOOKUP($J36,'Article Master'!$C:$F,4,0),0)</f>
        <v>45</v>
      </c>
      <c r="L36" s="56">
        <f>_xlfn.IFNA(VLOOKUP($J36,'Article Master'!$C:$F,2,0),0)</f>
        <v>720002030</v>
      </c>
      <c r="M36" s="46">
        <f t="shared" si="9"/>
        <v>0</v>
      </c>
      <c r="N36" s="63">
        <f>_xlfn.IFNA(VLOOKUP($J36,'Article Master'!$C:$F,3,0),0)</f>
        <v>0.18</v>
      </c>
      <c r="O36" s="46">
        <f t="shared" si="5"/>
        <v>0</v>
      </c>
      <c r="P36" s="46">
        <f t="shared" si="6"/>
        <v>0</v>
      </c>
      <c r="Q36" s="29"/>
      <c r="R36" s="29"/>
    </row>
    <row r="37" spans="1:18">
      <c r="A37" s="32">
        <f t="shared" si="7"/>
        <v>29</v>
      </c>
      <c r="B37" s="33"/>
      <c r="C37" s="34"/>
      <c r="D37" s="35"/>
      <c r="E37" s="44"/>
      <c r="F37" s="44"/>
      <c r="G37" s="45">
        <v>0</v>
      </c>
      <c r="H37" s="46">
        <f t="shared" si="3"/>
        <v>0</v>
      </c>
      <c r="I37" s="55" t="s">
        <v>75</v>
      </c>
      <c r="J37" s="29" t="s">
        <v>79</v>
      </c>
      <c r="K37" s="56">
        <f>_xlfn.IFNA(VLOOKUP($J37,'Article Master'!$C:$F,4,0),0)</f>
        <v>45</v>
      </c>
      <c r="L37" s="56">
        <f>_xlfn.IFNA(VLOOKUP($J37,'Article Master'!$C:$F,2,0),0)</f>
        <v>720002030</v>
      </c>
      <c r="M37" s="46">
        <f t="shared" si="9"/>
        <v>0</v>
      </c>
      <c r="N37" s="63">
        <f>_xlfn.IFNA(VLOOKUP($J37,'Article Master'!$C:$F,3,0),0)</f>
        <v>0.18</v>
      </c>
      <c r="O37" s="46">
        <f t="shared" si="5"/>
        <v>0</v>
      </c>
      <c r="P37" s="46">
        <f t="shared" si="6"/>
        <v>0</v>
      </c>
      <c r="Q37" s="29"/>
      <c r="R37" s="29"/>
    </row>
    <row r="38" spans="1:18">
      <c r="A38" s="32">
        <f t="shared" si="7"/>
        <v>30</v>
      </c>
      <c r="B38" s="33"/>
      <c r="C38" s="34"/>
      <c r="D38" s="35"/>
      <c r="E38" s="44"/>
      <c r="F38" s="44"/>
      <c r="G38" s="45">
        <v>0</v>
      </c>
      <c r="H38" s="46">
        <f t="shared" si="3"/>
        <v>0</v>
      </c>
      <c r="I38" s="55" t="s">
        <v>75</v>
      </c>
      <c r="J38" s="29" t="s">
        <v>79</v>
      </c>
      <c r="K38" s="56">
        <f>_xlfn.IFNA(VLOOKUP($J38,'Article Master'!$C:$F,4,0),0)</f>
        <v>45</v>
      </c>
      <c r="L38" s="56">
        <f>_xlfn.IFNA(VLOOKUP($J38,'Article Master'!$C:$F,2,0),0)</f>
        <v>720002030</v>
      </c>
      <c r="M38" s="46">
        <f t="shared" ref="M38:M43" si="18">K38*H38</f>
        <v>0</v>
      </c>
      <c r="N38" s="63">
        <f>_xlfn.IFNA(VLOOKUP($J38,'Article Master'!$C:$F,3,0),0)</f>
        <v>0.18</v>
      </c>
      <c r="O38" s="46">
        <f t="shared" si="5"/>
        <v>0</v>
      </c>
      <c r="P38" s="46">
        <f t="shared" si="6"/>
        <v>0</v>
      </c>
      <c r="Q38" s="29"/>
      <c r="R38" s="29"/>
    </row>
    <row r="39" spans="1:18">
      <c r="A39" s="32">
        <f t="shared" si="7"/>
        <v>31</v>
      </c>
      <c r="B39" s="33"/>
      <c r="C39" s="34"/>
      <c r="D39" s="35"/>
      <c r="E39" s="44"/>
      <c r="F39" s="44"/>
      <c r="G39" s="45">
        <v>0</v>
      </c>
      <c r="H39" s="46">
        <f t="shared" si="3"/>
        <v>0</v>
      </c>
      <c r="I39" s="55" t="s">
        <v>75</v>
      </c>
      <c r="J39" s="29" t="s">
        <v>79</v>
      </c>
      <c r="K39" s="56">
        <f>_xlfn.IFNA(VLOOKUP($J39,'Article Master'!$C:$F,4,0),0)</f>
        <v>45</v>
      </c>
      <c r="L39" s="56">
        <f>_xlfn.IFNA(VLOOKUP($J39,'Article Master'!$C:$F,2,0),0)</f>
        <v>720002030</v>
      </c>
      <c r="M39" s="46">
        <f t="shared" si="18"/>
        <v>0</v>
      </c>
      <c r="N39" s="63">
        <f>_xlfn.IFNA(VLOOKUP($J39,'Article Master'!$C:$F,3,0),0)</f>
        <v>0.18</v>
      </c>
      <c r="O39" s="46">
        <f t="shared" si="5"/>
        <v>0</v>
      </c>
      <c r="P39" s="46">
        <f t="shared" si="6"/>
        <v>0</v>
      </c>
      <c r="Q39" s="29"/>
      <c r="R39" s="29"/>
    </row>
    <row r="40" spans="1:18">
      <c r="A40" s="32">
        <f t="shared" si="7"/>
        <v>32</v>
      </c>
      <c r="B40" s="33"/>
      <c r="C40" s="34"/>
      <c r="D40" s="35"/>
      <c r="E40" s="44"/>
      <c r="F40" s="44"/>
      <c r="G40" s="45">
        <v>0</v>
      </c>
      <c r="H40" s="46">
        <f t="shared" si="3"/>
        <v>0</v>
      </c>
      <c r="I40" s="55" t="s">
        <v>75</v>
      </c>
      <c r="J40" s="29" t="s">
        <v>79</v>
      </c>
      <c r="K40" s="56">
        <f>_xlfn.IFNA(VLOOKUP($J40,'Article Master'!$C:$F,4,0),0)</f>
        <v>45</v>
      </c>
      <c r="L40" s="56">
        <f>_xlfn.IFNA(VLOOKUP($J40,'Article Master'!$C:$F,2,0),0)</f>
        <v>720002030</v>
      </c>
      <c r="M40" s="46">
        <f t="shared" si="18"/>
        <v>0</v>
      </c>
      <c r="N40" s="63">
        <f>_xlfn.IFNA(VLOOKUP($J40,'Article Master'!$C:$F,3,0),0)</f>
        <v>0.18</v>
      </c>
      <c r="O40" s="46">
        <f t="shared" si="5"/>
        <v>0</v>
      </c>
      <c r="P40" s="46">
        <f t="shared" si="6"/>
        <v>0</v>
      </c>
      <c r="Q40" s="29"/>
      <c r="R40" s="29"/>
    </row>
    <row r="41" spans="1:18">
      <c r="A41" s="32">
        <f t="shared" si="7"/>
        <v>33</v>
      </c>
      <c r="B41" s="33"/>
      <c r="C41" s="34"/>
      <c r="D41" s="35"/>
      <c r="E41" s="44"/>
      <c r="F41" s="44"/>
      <c r="G41" s="45">
        <v>0</v>
      </c>
      <c r="H41" s="46">
        <f t="shared" si="3"/>
        <v>0</v>
      </c>
      <c r="I41" s="55" t="s">
        <v>75</v>
      </c>
      <c r="J41" s="29" t="s">
        <v>79</v>
      </c>
      <c r="K41" s="56">
        <f>_xlfn.IFNA(VLOOKUP($J41,'Article Master'!$C:$F,4,0),0)</f>
        <v>45</v>
      </c>
      <c r="L41" s="56">
        <f>_xlfn.IFNA(VLOOKUP($J41,'Article Master'!$C:$F,2,0),0)</f>
        <v>720002030</v>
      </c>
      <c r="M41" s="46">
        <f t="shared" si="18"/>
        <v>0</v>
      </c>
      <c r="N41" s="63">
        <f>_xlfn.IFNA(VLOOKUP($J41,'Article Master'!$C:$F,3,0),0)</f>
        <v>0.18</v>
      </c>
      <c r="O41" s="46">
        <f t="shared" si="5"/>
        <v>0</v>
      </c>
      <c r="P41" s="46">
        <f t="shared" si="6"/>
        <v>0</v>
      </c>
      <c r="Q41" s="29"/>
      <c r="R41" s="29"/>
    </row>
    <row r="42" spans="1:18">
      <c r="A42" s="32">
        <f t="shared" si="7"/>
        <v>34</v>
      </c>
      <c r="B42" s="33"/>
      <c r="C42" s="34"/>
      <c r="D42" s="35"/>
      <c r="E42" s="44"/>
      <c r="F42" s="44"/>
      <c r="G42" s="45">
        <v>0</v>
      </c>
      <c r="H42" s="46">
        <f t="shared" si="3"/>
        <v>0</v>
      </c>
      <c r="I42" s="55" t="s">
        <v>75</v>
      </c>
      <c r="J42" s="29" t="s">
        <v>79</v>
      </c>
      <c r="K42" s="56">
        <f>_xlfn.IFNA(VLOOKUP($J42,'Article Master'!$C:$F,4,0),0)</f>
        <v>45</v>
      </c>
      <c r="L42" s="56">
        <f>_xlfn.IFNA(VLOOKUP($J42,'Article Master'!$C:$F,2,0),0)</f>
        <v>720002030</v>
      </c>
      <c r="M42" s="46">
        <f t="shared" si="18"/>
        <v>0</v>
      </c>
      <c r="N42" s="63">
        <f>_xlfn.IFNA(VLOOKUP($J42,'Article Master'!$C:$F,3,0),0)</f>
        <v>0.18</v>
      </c>
      <c r="O42" s="46">
        <f t="shared" si="5"/>
        <v>0</v>
      </c>
      <c r="P42" s="46">
        <f t="shared" si="6"/>
        <v>0</v>
      </c>
      <c r="Q42" s="29"/>
      <c r="R42" s="29"/>
    </row>
    <row r="43" spans="1:18">
      <c r="A43" s="32">
        <f t="shared" si="7"/>
        <v>35</v>
      </c>
      <c r="B43" s="33"/>
      <c r="C43" s="34"/>
      <c r="D43" s="35"/>
      <c r="E43" s="44"/>
      <c r="F43" s="44"/>
      <c r="G43" s="45">
        <v>0</v>
      </c>
      <c r="H43" s="46">
        <f t="shared" si="3"/>
        <v>0</v>
      </c>
      <c r="I43" s="55" t="s">
        <v>75</v>
      </c>
      <c r="J43" s="29" t="s">
        <v>79</v>
      </c>
      <c r="K43" s="56">
        <f>_xlfn.IFNA(VLOOKUP($J43,'Article Master'!$C:$F,4,0),0)</f>
        <v>45</v>
      </c>
      <c r="L43" s="56">
        <f>_xlfn.IFNA(VLOOKUP($J43,'Article Master'!$C:$F,2,0),0)</f>
        <v>720002030</v>
      </c>
      <c r="M43" s="46">
        <f t="shared" si="18"/>
        <v>0</v>
      </c>
      <c r="N43" s="63">
        <f>_xlfn.IFNA(VLOOKUP($J43,'Article Master'!$C:$F,3,0),0)</f>
        <v>0.18</v>
      </c>
      <c r="O43" s="46">
        <f t="shared" si="5"/>
        <v>0</v>
      </c>
      <c r="P43" s="46">
        <f t="shared" si="6"/>
        <v>0</v>
      </c>
      <c r="Q43" s="29"/>
      <c r="R43" s="29"/>
    </row>
    <row r="44" spans="1:18">
      <c r="A44" s="36" t="s">
        <v>306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57"/>
      <c r="M44" s="64">
        <f>SUM(M9:M43)</f>
        <v>0</v>
      </c>
      <c r="N44" s="65"/>
      <c r="O44" s="64">
        <f>SUM(O9:O43)</f>
        <v>0</v>
      </c>
      <c r="P44" s="64">
        <f>SUM(P9:P43)</f>
        <v>0</v>
      </c>
      <c r="Q44" s="66"/>
      <c r="R44" s="66"/>
    </row>
    <row r="45" ht="20.4" spans="1:1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</row>
  </sheetData>
  <autoFilter xmlns:etc="http://www.wps.cn/officeDocument/2017/etCustomData" ref="A8:R44" etc:filterBottomFollowUsedRange="0">
    <extLst/>
  </autoFilter>
  <mergeCells count="16">
    <mergeCell ref="K2:L2"/>
    <mergeCell ref="M2:N2"/>
    <mergeCell ref="A3:B3"/>
    <mergeCell ref="K3:L3"/>
    <mergeCell ref="M3:O3"/>
    <mergeCell ref="A4:B4"/>
    <mergeCell ref="C4:H4"/>
    <mergeCell ref="K4:L4"/>
    <mergeCell ref="M4:P4"/>
    <mergeCell ref="A5:B5"/>
    <mergeCell ref="K5:L5"/>
    <mergeCell ref="A6:B6"/>
    <mergeCell ref="K6:L6"/>
    <mergeCell ref="A7:B7"/>
    <mergeCell ref="C7:D7"/>
    <mergeCell ref="K7:L7"/>
  </mergeCells>
  <dataValidations count="2">
    <dataValidation type="list" allowBlank="1" showInputMessage="1" showErrorMessage="1" sqref="I9:I43">
      <formula1>Sheet1!$B$11:$B$37</formula1>
    </dataValidation>
    <dataValidation type="list" allowBlank="1" showInputMessage="1" sqref="J9:J43">
      <formula1>OFFSET(Sheet1!$C$10,MATCH(I9,Sheet1!$B$11:$B$37,0),,,COUNTIF(OFFSET(Sheet1!$C$10,MATCH(I9,Sheet1!$B$11:$B$37,0),,1,40),"?*"))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6"/>
  <sheetViews>
    <sheetView zoomScale="70" zoomScaleNormal="70" workbookViewId="0">
      <selection activeCell="A1" sqref="A1"/>
    </sheetView>
  </sheetViews>
  <sheetFormatPr defaultColWidth="9" defaultRowHeight="16.8"/>
  <cols>
    <col min="1" max="1" width="5.90625" customWidth="1"/>
    <col min="2" max="2" width="10.546875" customWidth="1"/>
    <col min="3" max="3" width="9.6328125" customWidth="1"/>
    <col min="4" max="4" width="10" customWidth="1"/>
    <col min="5" max="5" width="11" customWidth="1"/>
    <col min="6" max="6" width="9.6328125" customWidth="1"/>
    <col min="7" max="7" width="20.3671875" customWidth="1"/>
    <col min="8" max="8" width="30.453125" customWidth="1"/>
    <col min="9" max="9" width="9.6328125" customWidth="1"/>
    <col min="10" max="10" width="12.09375" customWidth="1"/>
    <col min="11" max="11" width="10.546875" customWidth="1"/>
    <col min="12" max="12" width="12.6328125" customWidth="1"/>
    <col min="13" max="13" width="9.6328125" customWidth="1"/>
    <col min="14" max="14" width="10.09375" customWidth="1"/>
    <col min="15" max="15" width="9.6328125" customWidth="1"/>
    <col min="16" max="16" width="10.546875" customWidth="1"/>
    <col min="17" max="18" width="9.6328125" customWidth="1"/>
    <col min="19" max="19" width="11" customWidth="1"/>
    <col min="20" max="20" width="15.6328125" customWidth="1"/>
    <col min="21" max="21" width="13.453125" customWidth="1"/>
    <col min="22" max="22" width="16.546875" customWidth="1"/>
    <col min="23" max="23" width="14.90625" customWidth="1"/>
    <col min="24" max="24" width="15" customWidth="1"/>
  </cols>
  <sheetData>
    <row r="1" spans="1:24">
      <c r="A1" s="1" t="s">
        <v>231</v>
      </c>
      <c r="B1" s="2" t="s">
        <v>232</v>
      </c>
      <c r="C1" s="3" t="s">
        <v>233</v>
      </c>
      <c r="D1" s="4" t="s">
        <v>234</v>
      </c>
      <c r="E1" s="4" t="s">
        <v>235</v>
      </c>
      <c r="F1" s="3" t="s">
        <v>236</v>
      </c>
      <c r="G1" s="3" t="s">
        <v>237</v>
      </c>
      <c r="H1" s="4" t="s">
        <v>238</v>
      </c>
      <c r="I1" s="3" t="s">
        <v>239</v>
      </c>
      <c r="J1" s="3" t="s">
        <v>240</v>
      </c>
      <c r="K1" s="4" t="s">
        <v>241</v>
      </c>
      <c r="L1" s="9" t="s">
        <v>243</v>
      </c>
      <c r="M1" s="9" t="s">
        <v>246</v>
      </c>
      <c r="N1" s="9" t="s">
        <v>247</v>
      </c>
      <c r="O1" s="9" t="s">
        <v>248</v>
      </c>
      <c r="P1" s="2" t="s">
        <v>249</v>
      </c>
      <c r="Q1" s="9" t="s">
        <v>250</v>
      </c>
      <c r="R1" s="9" t="s">
        <v>251</v>
      </c>
      <c r="S1" s="9" t="s">
        <v>252</v>
      </c>
      <c r="T1" s="9" t="s">
        <v>271</v>
      </c>
      <c r="U1" s="16" t="s">
        <v>307</v>
      </c>
      <c r="V1" s="16" t="s">
        <v>308</v>
      </c>
      <c r="W1" s="16" t="s">
        <v>309</v>
      </c>
      <c r="X1" s="16" t="s">
        <v>310</v>
      </c>
    </row>
    <row r="2" spans="1:24">
      <c r="A2" s="1"/>
      <c r="B2" s="2" t="s">
        <v>311</v>
      </c>
      <c r="C2" s="3" t="s">
        <v>312</v>
      </c>
      <c r="D2" s="2" t="s">
        <v>313</v>
      </c>
      <c r="E2" s="2" t="s">
        <v>313</v>
      </c>
      <c r="F2" s="3" t="s">
        <v>312</v>
      </c>
      <c r="G2" s="3" t="s">
        <v>312</v>
      </c>
      <c r="H2" s="4" t="s">
        <v>314</v>
      </c>
      <c r="I2" s="3" t="s">
        <v>312</v>
      </c>
      <c r="J2" s="3" t="s">
        <v>312</v>
      </c>
      <c r="K2" s="4" t="s">
        <v>311</v>
      </c>
      <c r="L2" s="3" t="s">
        <v>312</v>
      </c>
      <c r="M2" s="3" t="s">
        <v>312</v>
      </c>
      <c r="N2" s="3" t="s">
        <v>312</v>
      </c>
      <c r="O2" s="3" t="s">
        <v>312</v>
      </c>
      <c r="P2" s="4" t="s">
        <v>311</v>
      </c>
      <c r="Q2" s="3" t="s">
        <v>312</v>
      </c>
      <c r="R2" s="3" t="s">
        <v>312</v>
      </c>
      <c r="S2" s="3" t="s">
        <v>312</v>
      </c>
      <c r="T2" s="3" t="s">
        <v>312</v>
      </c>
      <c r="U2" s="3" t="s">
        <v>312</v>
      </c>
      <c r="V2" s="3" t="s">
        <v>312</v>
      </c>
      <c r="W2" s="3" t="s">
        <v>312</v>
      </c>
      <c r="X2" s="3" t="s">
        <v>312</v>
      </c>
    </row>
    <row r="3" spans="1:24">
      <c r="A3" s="1">
        <v>1</v>
      </c>
      <c r="B3" s="5" t="s">
        <v>258</v>
      </c>
      <c r="C3" s="6">
        <f>'PT ABC'!G$5</f>
        <v>7008750</v>
      </c>
      <c r="D3" s="5">
        <v>1000</v>
      </c>
      <c r="E3" s="5">
        <v>302</v>
      </c>
      <c r="F3" s="1">
        <f>'PT ABC'!M$5</f>
        <v>0</v>
      </c>
      <c r="G3" s="7" t="str">
        <f>IF(M3="","",'PT ABC'!I9)</f>
        <v/>
      </c>
      <c r="H3" s="8" t="s">
        <v>259</v>
      </c>
      <c r="I3" s="1" t="str">
        <f>IF(M3="","","D")</f>
        <v/>
      </c>
      <c r="J3" s="1" t="s">
        <v>260</v>
      </c>
      <c r="K3" s="10">
        <v>417772</v>
      </c>
      <c r="L3" s="11" t="str">
        <f>F3&amp;'PT ABC'!O$5</f>
        <v>0</v>
      </c>
      <c r="M3" s="12" t="str">
        <f>IF(100000000-'PT ABC'!L9&gt;0,'PT ABC'!L9,"")</f>
        <v/>
      </c>
      <c r="N3" s="1" t="str">
        <f>IF(M3="","",'PT ABC'!H9)</f>
        <v/>
      </c>
      <c r="O3" s="13" t="str">
        <f>IF(M3="","",'PT ABC'!M9)</f>
        <v/>
      </c>
      <c r="P3" s="14" t="s">
        <v>261</v>
      </c>
      <c r="Q3" s="1">
        <f>IF(100000000-'PT ABC'!L9&lt;0,'PT ABC'!L9,"")</f>
        <v>720000045</v>
      </c>
      <c r="R3" s="6">
        <f>IF(Q3="","",'PT ABC'!H9)</f>
        <v>0</v>
      </c>
      <c r="S3" s="15">
        <f>IF(Q3="","",'PT ABC'!M9)</f>
        <v>0</v>
      </c>
      <c r="T3" s="7">
        <f>'PT ABC'!C9</f>
        <v>0</v>
      </c>
      <c r="U3" s="11"/>
      <c r="V3" s="11" t="str">
        <f>'PT ABC'!M$5&amp;"     "&amp;'PT ABC'!M$3</f>
        <v>     </v>
      </c>
      <c r="W3" s="11" t="str">
        <f>'PT ABC'!O$2</f>
        <v>Payment at :-</v>
      </c>
      <c r="X3" s="11" t="str">
        <f>'PT ABC'!M$2</f>
        <v>Within 15 days</v>
      </c>
    </row>
    <row r="4" spans="1:24">
      <c r="A4" s="1">
        <v>1</v>
      </c>
      <c r="B4" s="5" t="s">
        <v>258</v>
      </c>
      <c r="C4" s="6">
        <f>'PT ABC'!G$5</f>
        <v>7008750</v>
      </c>
      <c r="D4" s="5">
        <v>1000</v>
      </c>
      <c r="E4" s="5">
        <v>302</v>
      </c>
      <c r="F4" s="1">
        <f>'PT ABC'!M$5</f>
        <v>0</v>
      </c>
      <c r="G4" s="7" t="str">
        <f>IF(M4="","",'PT ABC'!I10)</f>
        <v/>
      </c>
      <c r="H4" s="8" t="s">
        <v>259</v>
      </c>
      <c r="I4" s="1" t="str">
        <f t="shared" ref="I4:I56" si="0">IF(M4="","","D")</f>
        <v/>
      </c>
      <c r="J4" s="1" t="s">
        <v>260</v>
      </c>
      <c r="K4" s="10">
        <v>417772</v>
      </c>
      <c r="L4" s="11" t="str">
        <f>F4&amp;'PT ABC'!O$5</f>
        <v>0</v>
      </c>
      <c r="M4" s="12" t="str">
        <f>IF(100000000-'PT ABC'!L10&gt;0,'PT ABC'!L10,"")</f>
        <v/>
      </c>
      <c r="N4" s="1" t="str">
        <f>IF(M4="","",'PT ABC'!H10)</f>
        <v/>
      </c>
      <c r="O4" s="13" t="str">
        <f>IF(M4="","",'PT ABC'!M10)</f>
        <v/>
      </c>
      <c r="P4" s="14" t="s">
        <v>261</v>
      </c>
      <c r="Q4" s="1">
        <f>IF(100000000-'PT ABC'!L10&lt;0,'PT ABC'!L10,"")</f>
        <v>720002030</v>
      </c>
      <c r="R4" s="6">
        <f>IF(Q4="","",'PT ABC'!H10)</f>
        <v>0</v>
      </c>
      <c r="S4" s="15">
        <f>IF(Q4="","",'PT ABC'!M10)</f>
        <v>0</v>
      </c>
      <c r="T4" s="7">
        <f>'PT ABC'!C10</f>
        <v>0</v>
      </c>
      <c r="U4" s="11"/>
      <c r="V4" s="11" t="str">
        <f>'PT ABC'!M$5&amp;"     "&amp;'PT ABC'!M$3</f>
        <v>     </v>
      </c>
      <c r="W4" s="11" t="str">
        <f>'PT ABC'!O$2</f>
        <v>Payment at :-</v>
      </c>
      <c r="X4" s="11" t="str">
        <f>'PT ABC'!M$2</f>
        <v>Within 15 days</v>
      </c>
    </row>
    <row r="5" spans="1:24">
      <c r="A5" s="1">
        <v>1</v>
      </c>
      <c r="B5" s="5" t="s">
        <v>258</v>
      </c>
      <c r="C5" s="6">
        <f>'PT ABC'!G$5</f>
        <v>7008750</v>
      </c>
      <c r="D5" s="5">
        <v>1000</v>
      </c>
      <c r="E5" s="5">
        <v>302</v>
      </c>
      <c r="F5" s="1">
        <f>'PT ABC'!M$5</f>
        <v>0</v>
      </c>
      <c r="G5" s="7" t="str">
        <f>IF(M5="","",'PT ABC'!I11)</f>
        <v/>
      </c>
      <c r="H5" s="8" t="s">
        <v>259</v>
      </c>
      <c r="I5" s="1" t="str">
        <f t="shared" si="0"/>
        <v/>
      </c>
      <c r="J5" s="1" t="s">
        <v>260</v>
      </c>
      <c r="K5" s="10">
        <v>417772</v>
      </c>
      <c r="L5" s="11" t="str">
        <f>F5&amp;'PT ABC'!O$5</f>
        <v>0</v>
      </c>
      <c r="M5" s="12" t="str">
        <f>IF(100000000-'PT ABC'!L11&gt;0,'PT ABC'!L11,"")</f>
        <v/>
      </c>
      <c r="N5" s="1" t="str">
        <f>IF(M5="","",'PT ABC'!H11)</f>
        <v/>
      </c>
      <c r="O5" s="13" t="str">
        <f>IF(M5="","",'PT ABC'!M11)</f>
        <v/>
      </c>
      <c r="P5" s="14" t="s">
        <v>261</v>
      </c>
      <c r="Q5" s="1">
        <f>IF(100000000-'PT ABC'!L11&lt;0,'PT ABC'!L11,"")</f>
        <v>720002030</v>
      </c>
      <c r="R5" s="6">
        <f>IF(Q5="","",'PT ABC'!H11)</f>
        <v>0</v>
      </c>
      <c r="S5" s="15">
        <f>IF(Q5="","",'PT ABC'!M11)</f>
        <v>0</v>
      </c>
      <c r="T5" s="7">
        <f>'PT ABC'!C11</f>
        <v>0</v>
      </c>
      <c r="U5" s="11"/>
      <c r="V5" s="11" t="str">
        <f>'PT ABC'!M$5&amp;"     "&amp;'PT ABC'!M$3</f>
        <v>     </v>
      </c>
      <c r="W5" s="11" t="str">
        <f>'PT ABC'!O$2</f>
        <v>Payment at :-</v>
      </c>
      <c r="X5" s="11" t="str">
        <f>'PT ABC'!M$2</f>
        <v>Within 15 days</v>
      </c>
    </row>
    <row r="6" spans="1:24">
      <c r="A6" s="1">
        <v>1</v>
      </c>
      <c r="B6" s="5" t="s">
        <v>258</v>
      </c>
      <c r="C6" s="6">
        <f>'PT ABC'!G$5</f>
        <v>7008750</v>
      </c>
      <c r="D6" s="5">
        <v>1000</v>
      </c>
      <c r="E6" s="5">
        <v>302</v>
      </c>
      <c r="F6" s="1">
        <f>'PT ABC'!M$5</f>
        <v>0</v>
      </c>
      <c r="G6" s="7" t="str">
        <f>IF(M6="","",'PT ABC'!I12)</f>
        <v/>
      </c>
      <c r="H6" s="8" t="s">
        <v>259</v>
      </c>
      <c r="I6" s="1" t="str">
        <f t="shared" si="0"/>
        <v/>
      </c>
      <c r="J6" s="1" t="s">
        <v>260</v>
      </c>
      <c r="K6" s="10">
        <v>417772</v>
      </c>
      <c r="L6" s="11" t="str">
        <f>F6&amp;'PT ABC'!O$5</f>
        <v>0</v>
      </c>
      <c r="M6" s="12" t="str">
        <f>IF(100000000-'PT ABC'!L12&gt;0,'PT ABC'!L12,"")</f>
        <v/>
      </c>
      <c r="N6" s="1" t="str">
        <f>IF(M6="","",'PT ABC'!H12)</f>
        <v/>
      </c>
      <c r="O6" s="13" t="str">
        <f>IF(M6="","",'PT ABC'!M12)</f>
        <v/>
      </c>
      <c r="P6" s="14" t="s">
        <v>261</v>
      </c>
      <c r="Q6" s="1">
        <f>IF(100000000-'PT ABC'!L12&lt;0,'PT ABC'!L12,"")</f>
        <v>720002030</v>
      </c>
      <c r="R6" s="6">
        <f>IF(Q6="","",'PT ABC'!H12)</f>
        <v>0</v>
      </c>
      <c r="S6" s="15">
        <f>IF(Q6="","",'PT ABC'!M12)</f>
        <v>0</v>
      </c>
      <c r="T6" s="7">
        <f>'PT ABC'!C12</f>
        <v>0</v>
      </c>
      <c r="U6" s="11"/>
      <c r="V6" s="11" t="str">
        <f>'PT ABC'!M$5&amp;"     "&amp;'PT ABC'!M$3</f>
        <v>     </v>
      </c>
      <c r="W6" s="11" t="str">
        <f>'PT ABC'!O$2</f>
        <v>Payment at :-</v>
      </c>
      <c r="X6" s="11" t="str">
        <f>'PT ABC'!M$2</f>
        <v>Within 15 days</v>
      </c>
    </row>
    <row r="7" spans="1:24">
      <c r="A7" s="1">
        <v>1</v>
      </c>
      <c r="B7" s="5" t="s">
        <v>258</v>
      </c>
      <c r="C7" s="6">
        <f>'PT ABC'!G$5</f>
        <v>7008750</v>
      </c>
      <c r="D7" s="5">
        <v>1000</v>
      </c>
      <c r="E7" s="5">
        <v>302</v>
      </c>
      <c r="F7" s="1">
        <f>'PT ABC'!M$5</f>
        <v>0</v>
      </c>
      <c r="G7" s="7" t="str">
        <f>IF(M7="","",'PT ABC'!I13)</f>
        <v/>
      </c>
      <c r="H7" s="8" t="s">
        <v>259</v>
      </c>
      <c r="I7" s="1" t="str">
        <f t="shared" si="0"/>
        <v/>
      </c>
      <c r="J7" s="1" t="s">
        <v>260</v>
      </c>
      <c r="K7" s="10">
        <v>417772</v>
      </c>
      <c r="L7" s="11" t="str">
        <f>F7&amp;'PT ABC'!O$5</f>
        <v>0</v>
      </c>
      <c r="M7" s="12" t="str">
        <f>IF(100000000-'PT ABC'!L13&gt;0,'PT ABC'!L13,"")</f>
        <v/>
      </c>
      <c r="N7" s="1" t="str">
        <f>IF(M7="","",'PT ABC'!H13)</f>
        <v/>
      </c>
      <c r="O7" s="13" t="str">
        <f>IF(M7="","",'PT ABC'!M13)</f>
        <v/>
      </c>
      <c r="P7" s="14" t="s">
        <v>261</v>
      </c>
      <c r="Q7" s="1">
        <f>IF(100000000-'PT ABC'!L13&lt;0,'PT ABC'!L13,"")</f>
        <v>720002030</v>
      </c>
      <c r="R7" s="6">
        <f>IF(Q7="","",'PT ABC'!H13)</f>
        <v>0</v>
      </c>
      <c r="S7" s="15">
        <f>IF(Q7="","",'PT ABC'!M13)</f>
        <v>0</v>
      </c>
      <c r="T7" s="7">
        <f>'PT ABC'!C13</f>
        <v>0</v>
      </c>
      <c r="U7" s="11"/>
      <c r="V7" s="11" t="str">
        <f>'PT ABC'!M$5&amp;"     "&amp;'PT ABC'!M$3</f>
        <v>     </v>
      </c>
      <c r="W7" s="11" t="str">
        <f>'PT ABC'!O$2</f>
        <v>Payment at :-</v>
      </c>
      <c r="X7" s="11" t="str">
        <f>'PT ABC'!M$2</f>
        <v>Within 15 days</v>
      </c>
    </row>
    <row r="8" spans="1:24">
      <c r="A8" s="1">
        <v>1</v>
      </c>
      <c r="B8" s="5" t="s">
        <v>258</v>
      </c>
      <c r="C8" s="6">
        <f>'PT ABC'!G$5</f>
        <v>7008750</v>
      </c>
      <c r="D8" s="5">
        <v>1000</v>
      </c>
      <c r="E8" s="5">
        <v>302</v>
      </c>
      <c r="F8" s="1">
        <f>'PT ABC'!M$5</f>
        <v>0</v>
      </c>
      <c r="G8" s="7" t="str">
        <f>IF(M8="","",'PT ABC'!I14)</f>
        <v/>
      </c>
      <c r="H8" s="8" t="s">
        <v>259</v>
      </c>
      <c r="I8" s="1" t="str">
        <f t="shared" si="0"/>
        <v/>
      </c>
      <c r="J8" s="1" t="s">
        <v>260</v>
      </c>
      <c r="K8" s="10">
        <v>417772</v>
      </c>
      <c r="L8" s="11" t="str">
        <f>F8&amp;'PT ABC'!O$5</f>
        <v>0</v>
      </c>
      <c r="M8" s="12" t="str">
        <f>IF(100000000-'PT ABC'!L14&gt;0,'PT ABC'!L14,"")</f>
        <v/>
      </c>
      <c r="N8" s="1" t="str">
        <f>IF(M8="","",'PT ABC'!H14)</f>
        <v/>
      </c>
      <c r="O8" s="13" t="str">
        <f>IF(M8="","",'PT ABC'!M14)</f>
        <v/>
      </c>
      <c r="P8" s="14" t="s">
        <v>261</v>
      </c>
      <c r="Q8" s="1">
        <f>IF(100000000-'PT ABC'!L14&lt;0,'PT ABC'!L14,"")</f>
        <v>720002030</v>
      </c>
      <c r="R8" s="6">
        <f>IF(Q8="","",'PT ABC'!H14)</f>
        <v>0</v>
      </c>
      <c r="S8" s="15">
        <f>IF(Q8="","",'PT ABC'!M14)</f>
        <v>0</v>
      </c>
      <c r="T8" s="7">
        <f>'PT ABC'!C14</f>
        <v>0</v>
      </c>
      <c r="U8" s="11"/>
      <c r="V8" s="11" t="str">
        <f>'PT ABC'!M$5&amp;"     "&amp;'PT ABC'!M$3</f>
        <v>     </v>
      </c>
      <c r="W8" s="11" t="str">
        <f>'PT ABC'!O$2</f>
        <v>Payment at :-</v>
      </c>
      <c r="X8" s="11" t="str">
        <f>'PT ABC'!M$2</f>
        <v>Within 15 days</v>
      </c>
    </row>
    <row r="9" spans="1:24">
      <c r="A9" s="1">
        <v>1</v>
      </c>
      <c r="B9" s="5" t="s">
        <v>258</v>
      </c>
      <c r="C9" s="6">
        <f>'PT ABC'!G$5</f>
        <v>7008750</v>
      </c>
      <c r="D9" s="5">
        <v>1000</v>
      </c>
      <c r="E9" s="5">
        <v>302</v>
      </c>
      <c r="F9" s="1">
        <f>'PT ABC'!M$5</f>
        <v>0</v>
      </c>
      <c r="G9" s="7" t="str">
        <f>IF(M9="","",'PT ABC'!I15)</f>
        <v/>
      </c>
      <c r="H9" s="8" t="s">
        <v>259</v>
      </c>
      <c r="I9" s="1" t="str">
        <f t="shared" si="0"/>
        <v/>
      </c>
      <c r="J9" s="1" t="s">
        <v>260</v>
      </c>
      <c r="K9" s="10">
        <v>417772</v>
      </c>
      <c r="L9" s="11" t="str">
        <f>F9&amp;'PT ABC'!O$5</f>
        <v>0</v>
      </c>
      <c r="M9" s="12" t="str">
        <f>IF(100000000-'PT ABC'!L15&gt;0,'PT ABC'!L15,"")</f>
        <v/>
      </c>
      <c r="N9" s="1" t="str">
        <f>IF(M9="","",'PT ABC'!H15)</f>
        <v/>
      </c>
      <c r="O9" s="13" t="str">
        <f>IF(M9="","",'PT ABC'!M15)</f>
        <v/>
      </c>
      <c r="P9" s="14" t="s">
        <v>261</v>
      </c>
      <c r="Q9" s="1">
        <f>IF(100000000-'PT ABC'!L15&lt;0,'PT ABC'!L15,"")</f>
        <v>720002030</v>
      </c>
      <c r="R9" s="6">
        <f>IF(Q9="","",'PT ABC'!H15)</f>
        <v>0</v>
      </c>
      <c r="S9" s="15">
        <f>IF(Q9="","",'PT ABC'!M15)</f>
        <v>0</v>
      </c>
      <c r="T9" s="7">
        <f>'PT ABC'!C15</f>
        <v>0</v>
      </c>
      <c r="U9" s="11"/>
      <c r="V9" s="11" t="str">
        <f>'PT ABC'!M$5&amp;"     "&amp;'PT ABC'!M$3</f>
        <v>     </v>
      </c>
      <c r="W9" s="11" t="str">
        <f>'PT ABC'!O$2</f>
        <v>Payment at :-</v>
      </c>
      <c r="X9" s="11" t="str">
        <f>'PT ABC'!M$2</f>
        <v>Within 15 days</v>
      </c>
    </row>
    <row r="10" spans="1:24">
      <c r="A10" s="1">
        <v>1</v>
      </c>
      <c r="B10" s="5" t="s">
        <v>258</v>
      </c>
      <c r="C10" s="6">
        <f>'PT ABC'!G$5</f>
        <v>7008750</v>
      </c>
      <c r="D10" s="5">
        <v>1000</v>
      </c>
      <c r="E10" s="5">
        <v>302</v>
      </c>
      <c r="F10" s="1">
        <f>'PT ABC'!M$5</f>
        <v>0</v>
      </c>
      <c r="G10" s="7" t="e">
        <f>IF(M10="","",'PT ABC'!#REF!)</f>
        <v>#REF!</v>
      </c>
      <c r="H10" s="8" t="s">
        <v>259</v>
      </c>
      <c r="I10" s="1" t="e">
        <f t="shared" si="0"/>
        <v>#REF!</v>
      </c>
      <c r="J10" s="1" t="s">
        <v>260</v>
      </c>
      <c r="K10" s="10">
        <v>417772</v>
      </c>
      <c r="L10" s="11" t="str">
        <f>F10&amp;'PT ABC'!O$5</f>
        <v>0</v>
      </c>
      <c r="M10" s="12" t="e">
        <f>IF(100000000-'PT ABC'!#REF!&gt;0,'PT ABC'!#REF!,"")</f>
        <v>#REF!</v>
      </c>
      <c r="N10" s="1" t="e">
        <f>IF(M10="","",'PT ABC'!#REF!)</f>
        <v>#REF!</v>
      </c>
      <c r="O10" s="13" t="e">
        <f>IF(M10="","",'PT ABC'!#REF!)</f>
        <v>#REF!</v>
      </c>
      <c r="P10" s="14" t="s">
        <v>261</v>
      </c>
      <c r="Q10" s="1" t="e">
        <f>IF(100000000-'PT ABC'!#REF!&lt;0,'PT ABC'!#REF!,"")</f>
        <v>#REF!</v>
      </c>
      <c r="R10" s="6" t="e">
        <f>IF(Q10="","",'PT ABC'!#REF!)</f>
        <v>#REF!</v>
      </c>
      <c r="S10" s="15" t="e">
        <f>IF(Q10="","",'PT ABC'!#REF!)</f>
        <v>#REF!</v>
      </c>
      <c r="T10" s="7" t="e">
        <f>'PT ABC'!#REF!</f>
        <v>#REF!</v>
      </c>
      <c r="U10" s="11"/>
      <c r="V10" s="11" t="str">
        <f>'PT ABC'!M$5&amp;"     "&amp;'PT ABC'!M$3</f>
        <v>     </v>
      </c>
      <c r="W10" s="11" t="str">
        <f>'PT ABC'!O$2</f>
        <v>Payment at :-</v>
      </c>
      <c r="X10" s="11" t="str">
        <f>'PT ABC'!M$2</f>
        <v>Within 15 days</v>
      </c>
    </row>
    <row r="11" spans="1:24">
      <c r="A11" s="1">
        <v>1</v>
      </c>
      <c r="B11" s="5" t="s">
        <v>258</v>
      </c>
      <c r="C11" s="6">
        <f>'PT ABC'!G$5</f>
        <v>7008750</v>
      </c>
      <c r="D11" s="5">
        <v>1000</v>
      </c>
      <c r="E11" s="5">
        <v>302</v>
      </c>
      <c r="F11" s="1">
        <f>'PT ABC'!M$5</f>
        <v>0</v>
      </c>
      <c r="G11" s="7" t="e">
        <f>IF(M11="","",'PT ABC'!#REF!)</f>
        <v>#REF!</v>
      </c>
      <c r="H11" s="8" t="s">
        <v>259</v>
      </c>
      <c r="I11" s="1" t="e">
        <f t="shared" si="0"/>
        <v>#REF!</v>
      </c>
      <c r="J11" s="1" t="s">
        <v>260</v>
      </c>
      <c r="K11" s="10">
        <v>417772</v>
      </c>
      <c r="L11" s="11" t="str">
        <f>F11&amp;'PT ABC'!O$5</f>
        <v>0</v>
      </c>
      <c r="M11" s="12" t="e">
        <f>IF(100000000-'PT ABC'!#REF!&gt;0,'PT ABC'!#REF!,"")</f>
        <v>#REF!</v>
      </c>
      <c r="N11" s="1" t="e">
        <f>IF(M11="","",'PT ABC'!#REF!)</f>
        <v>#REF!</v>
      </c>
      <c r="O11" s="13" t="e">
        <f>IF(M11="","",'PT ABC'!#REF!)</f>
        <v>#REF!</v>
      </c>
      <c r="P11" s="14" t="s">
        <v>261</v>
      </c>
      <c r="Q11" s="1" t="e">
        <f>IF(100000000-'PT ABC'!#REF!&lt;0,'PT ABC'!#REF!,"")</f>
        <v>#REF!</v>
      </c>
      <c r="R11" s="6" t="e">
        <f>IF(Q11="","",'PT ABC'!#REF!)</f>
        <v>#REF!</v>
      </c>
      <c r="S11" s="15" t="e">
        <f>IF(Q11="","",'PT ABC'!#REF!)</f>
        <v>#REF!</v>
      </c>
      <c r="T11" s="7" t="e">
        <f>'PT ABC'!#REF!</f>
        <v>#REF!</v>
      </c>
      <c r="U11" s="11"/>
      <c r="V11" s="11" t="str">
        <f>'PT ABC'!M$5&amp;"     "&amp;'PT ABC'!M$3</f>
        <v>     </v>
      </c>
      <c r="W11" s="11" t="str">
        <f>'PT ABC'!O$2</f>
        <v>Payment at :-</v>
      </c>
      <c r="X11" s="11" t="str">
        <f>'PT ABC'!M$2</f>
        <v>Within 15 days</v>
      </c>
    </row>
    <row r="12" spans="1:24">
      <c r="A12" s="1">
        <v>1</v>
      </c>
      <c r="B12" s="5" t="s">
        <v>258</v>
      </c>
      <c r="C12" s="6">
        <f>'PT ABC'!G$5</f>
        <v>7008750</v>
      </c>
      <c r="D12" s="5">
        <v>1000</v>
      </c>
      <c r="E12" s="5">
        <v>302</v>
      </c>
      <c r="F12" s="1">
        <f>'PT ABC'!M$5</f>
        <v>0</v>
      </c>
      <c r="G12" s="7" t="e">
        <f>IF(M12="","",'PT ABC'!#REF!)</f>
        <v>#REF!</v>
      </c>
      <c r="H12" s="8" t="s">
        <v>259</v>
      </c>
      <c r="I12" s="1" t="e">
        <f t="shared" si="0"/>
        <v>#REF!</v>
      </c>
      <c r="J12" s="1" t="s">
        <v>260</v>
      </c>
      <c r="K12" s="10">
        <v>417772</v>
      </c>
      <c r="L12" s="11" t="str">
        <f>F12&amp;'PT ABC'!O$5</f>
        <v>0</v>
      </c>
      <c r="M12" s="12" t="e">
        <f>IF(100000000-'PT ABC'!#REF!&gt;0,'PT ABC'!#REF!,"")</f>
        <v>#REF!</v>
      </c>
      <c r="N12" s="1" t="e">
        <f>IF(M12="","",'PT ABC'!#REF!)</f>
        <v>#REF!</v>
      </c>
      <c r="O12" s="13" t="e">
        <f>IF(M12="","",'PT ABC'!#REF!)</f>
        <v>#REF!</v>
      </c>
      <c r="P12" s="14" t="s">
        <v>261</v>
      </c>
      <c r="Q12" s="1" t="e">
        <f>IF(100000000-'PT ABC'!#REF!&lt;0,'PT ABC'!#REF!,"")</f>
        <v>#REF!</v>
      </c>
      <c r="R12" s="6" t="e">
        <f>IF(Q12="","",'PT ABC'!#REF!)</f>
        <v>#REF!</v>
      </c>
      <c r="S12" s="15" t="e">
        <f>IF(Q12="","",'PT ABC'!#REF!)</f>
        <v>#REF!</v>
      </c>
      <c r="T12" s="7" t="e">
        <f>'PT ABC'!#REF!</f>
        <v>#REF!</v>
      </c>
      <c r="U12" s="11"/>
      <c r="V12" s="11" t="str">
        <f>'PT ABC'!M$5&amp;"     "&amp;'PT ABC'!M$3</f>
        <v>     </v>
      </c>
      <c r="W12" s="11" t="str">
        <f>'PT ABC'!O$2</f>
        <v>Payment at :-</v>
      </c>
      <c r="X12" s="11" t="str">
        <f>'PT ABC'!M$2</f>
        <v>Within 15 days</v>
      </c>
    </row>
    <row r="13" spans="1:24">
      <c r="A13" s="1">
        <v>1</v>
      </c>
      <c r="B13" s="5" t="s">
        <v>258</v>
      </c>
      <c r="C13" s="6">
        <f>'PT ABC'!G$5</f>
        <v>7008750</v>
      </c>
      <c r="D13" s="5">
        <v>1000</v>
      </c>
      <c r="E13" s="5">
        <v>302</v>
      </c>
      <c r="F13" s="1">
        <f>'PT ABC'!M$5</f>
        <v>0</v>
      </c>
      <c r="G13" s="7" t="e">
        <f>IF(M13="","",'PT ABC'!#REF!)</f>
        <v>#REF!</v>
      </c>
      <c r="H13" s="8" t="s">
        <v>259</v>
      </c>
      <c r="I13" s="1" t="e">
        <f t="shared" si="0"/>
        <v>#REF!</v>
      </c>
      <c r="J13" s="1" t="s">
        <v>260</v>
      </c>
      <c r="K13" s="10">
        <v>417772</v>
      </c>
      <c r="L13" s="11" t="str">
        <f>F13&amp;'PT ABC'!O$5</f>
        <v>0</v>
      </c>
      <c r="M13" s="12" t="e">
        <f>IF(100000000-'PT ABC'!#REF!&gt;0,'PT ABC'!#REF!,"")</f>
        <v>#REF!</v>
      </c>
      <c r="N13" s="1" t="e">
        <f>IF(M13="","",'PT ABC'!#REF!)</f>
        <v>#REF!</v>
      </c>
      <c r="O13" s="13" t="e">
        <f>IF(M13="","",'PT ABC'!#REF!)</f>
        <v>#REF!</v>
      </c>
      <c r="P13" s="14" t="s">
        <v>261</v>
      </c>
      <c r="Q13" s="1" t="e">
        <f>IF(100000000-'PT ABC'!#REF!&lt;0,'PT ABC'!#REF!,"")</f>
        <v>#REF!</v>
      </c>
      <c r="R13" s="6" t="e">
        <f>IF(Q13="","",'PT ABC'!#REF!)</f>
        <v>#REF!</v>
      </c>
      <c r="S13" s="15" t="e">
        <f>IF(Q13="","",'PT ABC'!#REF!)</f>
        <v>#REF!</v>
      </c>
      <c r="T13" s="7" t="e">
        <f>'PT ABC'!#REF!</f>
        <v>#REF!</v>
      </c>
      <c r="U13" s="11"/>
      <c r="V13" s="11" t="str">
        <f>'PT ABC'!M$5&amp;"     "&amp;'PT ABC'!M$3</f>
        <v>     </v>
      </c>
      <c r="W13" s="11" t="str">
        <f>'PT ABC'!O$2</f>
        <v>Payment at :-</v>
      </c>
      <c r="X13" s="11" t="str">
        <f>'PT ABC'!M$2</f>
        <v>Within 15 days</v>
      </c>
    </row>
    <row r="14" spans="1:24">
      <c r="A14" s="1">
        <v>1</v>
      </c>
      <c r="B14" s="5" t="s">
        <v>258</v>
      </c>
      <c r="C14" s="6">
        <f>'PT ABC'!G$5</f>
        <v>7008750</v>
      </c>
      <c r="D14" s="5">
        <v>1000</v>
      </c>
      <c r="E14" s="5">
        <v>302</v>
      </c>
      <c r="F14" s="1">
        <f>'PT ABC'!M$5</f>
        <v>0</v>
      </c>
      <c r="G14" s="7" t="e">
        <f>IF(M14="","",'PT ABC'!#REF!)</f>
        <v>#REF!</v>
      </c>
      <c r="H14" s="8" t="s">
        <v>259</v>
      </c>
      <c r="I14" s="1" t="e">
        <f t="shared" si="0"/>
        <v>#REF!</v>
      </c>
      <c r="J14" s="1" t="s">
        <v>260</v>
      </c>
      <c r="K14" s="10">
        <v>417772</v>
      </c>
      <c r="L14" s="11" t="str">
        <f>F14&amp;'PT ABC'!O$5</f>
        <v>0</v>
      </c>
      <c r="M14" s="12" t="e">
        <f>IF(100000000-'PT ABC'!#REF!&gt;0,'PT ABC'!#REF!,"")</f>
        <v>#REF!</v>
      </c>
      <c r="N14" s="1" t="e">
        <f>IF(M14="","",'PT ABC'!#REF!)</f>
        <v>#REF!</v>
      </c>
      <c r="O14" s="13" t="e">
        <f>IF(M14="","",'PT ABC'!#REF!)</f>
        <v>#REF!</v>
      </c>
      <c r="P14" s="14" t="s">
        <v>261</v>
      </c>
      <c r="Q14" s="1" t="e">
        <f>IF(100000000-'PT ABC'!#REF!&lt;0,'PT ABC'!#REF!,"")</f>
        <v>#REF!</v>
      </c>
      <c r="R14" s="6" t="e">
        <f>IF(Q14="","",'PT ABC'!#REF!)</f>
        <v>#REF!</v>
      </c>
      <c r="S14" s="15" t="e">
        <f>IF(Q14="","",'PT ABC'!#REF!)</f>
        <v>#REF!</v>
      </c>
      <c r="T14" s="7" t="e">
        <f>'PT ABC'!#REF!</f>
        <v>#REF!</v>
      </c>
      <c r="U14" s="11"/>
      <c r="V14" s="11" t="str">
        <f>'PT ABC'!M$5&amp;"     "&amp;'PT ABC'!M$3</f>
        <v>     </v>
      </c>
      <c r="W14" s="11" t="str">
        <f>'PT ABC'!O$2</f>
        <v>Payment at :-</v>
      </c>
      <c r="X14" s="11" t="str">
        <f>'PT ABC'!M$2</f>
        <v>Within 15 days</v>
      </c>
    </row>
    <row r="15" spans="1:24">
      <c r="A15" s="1">
        <v>1</v>
      </c>
      <c r="B15" s="5" t="s">
        <v>258</v>
      </c>
      <c r="C15" s="6">
        <f>'PT ABC'!G$5</f>
        <v>7008750</v>
      </c>
      <c r="D15" s="5">
        <v>1000</v>
      </c>
      <c r="E15" s="5">
        <v>302</v>
      </c>
      <c r="F15" s="1">
        <f>'PT ABC'!M$5</f>
        <v>0</v>
      </c>
      <c r="G15" s="7" t="e">
        <f>IF(M15="","",'PT ABC'!#REF!)</f>
        <v>#REF!</v>
      </c>
      <c r="H15" s="8" t="s">
        <v>259</v>
      </c>
      <c r="I15" s="1" t="e">
        <f t="shared" si="0"/>
        <v>#REF!</v>
      </c>
      <c r="J15" s="1" t="s">
        <v>260</v>
      </c>
      <c r="K15" s="10">
        <v>417772</v>
      </c>
      <c r="L15" s="11" t="str">
        <f>F15&amp;'PT ABC'!O$5</f>
        <v>0</v>
      </c>
      <c r="M15" s="12" t="e">
        <f>IF(100000000-'PT ABC'!#REF!&gt;0,'PT ABC'!#REF!,"")</f>
        <v>#REF!</v>
      </c>
      <c r="N15" s="1" t="e">
        <f>IF(M15="","",'PT ABC'!#REF!)</f>
        <v>#REF!</v>
      </c>
      <c r="O15" s="13" t="e">
        <f>IF(M15="","",'PT ABC'!#REF!)</f>
        <v>#REF!</v>
      </c>
      <c r="P15" s="14" t="s">
        <v>261</v>
      </c>
      <c r="Q15" s="1" t="e">
        <f>IF(100000000-'PT ABC'!#REF!&lt;0,'PT ABC'!#REF!,"")</f>
        <v>#REF!</v>
      </c>
      <c r="R15" s="6" t="e">
        <f>IF(Q15="","",'PT ABC'!#REF!)</f>
        <v>#REF!</v>
      </c>
      <c r="S15" s="15" t="e">
        <f>IF(Q15="","",'PT ABC'!#REF!)</f>
        <v>#REF!</v>
      </c>
      <c r="T15" s="7" t="e">
        <f>'PT ABC'!#REF!</f>
        <v>#REF!</v>
      </c>
      <c r="U15" s="11"/>
      <c r="V15" s="11" t="str">
        <f>'PT ABC'!M$5&amp;"     "&amp;'PT ABC'!M$3</f>
        <v>     </v>
      </c>
      <c r="W15" s="11" t="str">
        <f>'PT ABC'!O$2</f>
        <v>Payment at :-</v>
      </c>
      <c r="X15" s="11" t="str">
        <f>'PT ABC'!M$2</f>
        <v>Within 15 days</v>
      </c>
    </row>
    <row r="16" spans="1:24">
      <c r="A16" s="1">
        <v>1</v>
      </c>
      <c r="B16" s="5" t="s">
        <v>258</v>
      </c>
      <c r="C16" s="6">
        <f>'PT ABC'!G$5</f>
        <v>7008750</v>
      </c>
      <c r="D16" s="5">
        <v>1000</v>
      </c>
      <c r="E16" s="5">
        <v>302</v>
      </c>
      <c r="F16" s="1">
        <f>'PT ABC'!M$5</f>
        <v>0</v>
      </c>
      <c r="G16" s="7" t="e">
        <f>IF(M16="","",'PT ABC'!#REF!)</f>
        <v>#REF!</v>
      </c>
      <c r="H16" s="8" t="s">
        <v>259</v>
      </c>
      <c r="I16" s="1" t="e">
        <f t="shared" si="0"/>
        <v>#REF!</v>
      </c>
      <c r="J16" s="1" t="s">
        <v>260</v>
      </c>
      <c r="K16" s="10">
        <v>417772</v>
      </c>
      <c r="L16" s="11" t="str">
        <f>F16&amp;'PT ABC'!O$5</f>
        <v>0</v>
      </c>
      <c r="M16" s="12" t="e">
        <f>IF(100000000-'PT ABC'!#REF!&gt;0,'PT ABC'!#REF!,"")</f>
        <v>#REF!</v>
      </c>
      <c r="N16" s="1" t="e">
        <f>IF(M16="","",'PT ABC'!#REF!)</f>
        <v>#REF!</v>
      </c>
      <c r="O16" s="13" t="e">
        <f>IF(M16="","",'PT ABC'!#REF!)</f>
        <v>#REF!</v>
      </c>
      <c r="P16" s="14" t="s">
        <v>261</v>
      </c>
      <c r="Q16" s="1" t="e">
        <f>IF(100000000-'PT ABC'!#REF!&lt;0,'PT ABC'!#REF!,"")</f>
        <v>#REF!</v>
      </c>
      <c r="R16" s="6" t="e">
        <f>IF(Q16="","",'PT ABC'!#REF!)</f>
        <v>#REF!</v>
      </c>
      <c r="S16" s="15" t="e">
        <f>IF(Q16="","",'PT ABC'!#REF!)</f>
        <v>#REF!</v>
      </c>
      <c r="T16" s="7" t="e">
        <f>'PT ABC'!#REF!</f>
        <v>#REF!</v>
      </c>
      <c r="U16" s="11"/>
      <c r="V16" s="11" t="str">
        <f>'PT ABC'!M$5&amp;"     "&amp;'PT ABC'!M$3</f>
        <v>     </v>
      </c>
      <c r="W16" s="11" t="str">
        <f>'PT ABC'!O$2</f>
        <v>Payment at :-</v>
      </c>
      <c r="X16" s="11" t="str">
        <f>'PT ABC'!M$2</f>
        <v>Within 15 days</v>
      </c>
    </row>
    <row r="17" spans="1:24">
      <c r="A17" s="1">
        <v>1</v>
      </c>
      <c r="B17" s="5" t="s">
        <v>258</v>
      </c>
      <c r="C17" s="6">
        <f>'PT ABC'!G$5</f>
        <v>7008750</v>
      </c>
      <c r="D17" s="5">
        <v>1000</v>
      </c>
      <c r="E17" s="5">
        <v>302</v>
      </c>
      <c r="F17" s="1">
        <f>'PT ABC'!M$5</f>
        <v>0</v>
      </c>
      <c r="G17" s="7" t="e">
        <f>IF(M17="","",'PT ABC'!#REF!)</f>
        <v>#REF!</v>
      </c>
      <c r="H17" s="8" t="s">
        <v>259</v>
      </c>
      <c r="I17" s="1" t="e">
        <f t="shared" si="0"/>
        <v>#REF!</v>
      </c>
      <c r="J17" s="1" t="s">
        <v>260</v>
      </c>
      <c r="K17" s="10">
        <v>417772</v>
      </c>
      <c r="L17" s="11" t="str">
        <f>F17&amp;'PT ABC'!O$5</f>
        <v>0</v>
      </c>
      <c r="M17" s="12" t="e">
        <f>IF(100000000-'PT ABC'!#REF!&gt;0,'PT ABC'!#REF!,"")</f>
        <v>#REF!</v>
      </c>
      <c r="N17" s="1" t="e">
        <f>IF(M17="","",'PT ABC'!#REF!)</f>
        <v>#REF!</v>
      </c>
      <c r="O17" s="13" t="e">
        <f>IF(M17="","",'PT ABC'!#REF!)</f>
        <v>#REF!</v>
      </c>
      <c r="P17" s="14" t="s">
        <v>261</v>
      </c>
      <c r="Q17" s="1" t="e">
        <f>IF(100000000-'PT ABC'!#REF!&lt;0,'PT ABC'!#REF!,"")</f>
        <v>#REF!</v>
      </c>
      <c r="R17" s="6" t="e">
        <f>IF(Q17="","",'PT ABC'!#REF!)</f>
        <v>#REF!</v>
      </c>
      <c r="S17" s="15" t="e">
        <f>IF(Q17="","",'PT ABC'!#REF!)</f>
        <v>#REF!</v>
      </c>
      <c r="T17" s="7" t="e">
        <f>'PT ABC'!#REF!</f>
        <v>#REF!</v>
      </c>
      <c r="U17" s="11"/>
      <c r="V17" s="11" t="str">
        <f>'PT ABC'!M$5&amp;"     "&amp;'PT ABC'!M$3</f>
        <v>     </v>
      </c>
      <c r="W17" s="11" t="str">
        <f>'PT ABC'!O$2</f>
        <v>Payment at :-</v>
      </c>
      <c r="X17" s="11" t="str">
        <f>'PT ABC'!M$2</f>
        <v>Within 15 days</v>
      </c>
    </row>
    <row r="18" spans="1:24">
      <c r="A18" s="1">
        <v>1</v>
      </c>
      <c r="B18" s="5" t="s">
        <v>258</v>
      </c>
      <c r="C18" s="6">
        <f>'PT ABC'!G$5</f>
        <v>7008750</v>
      </c>
      <c r="D18" s="5">
        <v>1000</v>
      </c>
      <c r="E18" s="5">
        <v>302</v>
      </c>
      <c r="F18" s="1">
        <f>'PT ABC'!M$5</f>
        <v>0</v>
      </c>
      <c r="G18" s="7" t="e">
        <f>IF(M18="","",'PT ABC'!#REF!)</f>
        <v>#REF!</v>
      </c>
      <c r="H18" s="8" t="s">
        <v>259</v>
      </c>
      <c r="I18" s="1" t="e">
        <f t="shared" si="0"/>
        <v>#REF!</v>
      </c>
      <c r="J18" s="1" t="s">
        <v>260</v>
      </c>
      <c r="K18" s="10">
        <v>417772</v>
      </c>
      <c r="L18" s="11" t="str">
        <f>F18&amp;'PT ABC'!O$5</f>
        <v>0</v>
      </c>
      <c r="M18" s="12" t="e">
        <f>IF(100000000-'PT ABC'!#REF!&gt;0,'PT ABC'!#REF!,"")</f>
        <v>#REF!</v>
      </c>
      <c r="N18" s="1" t="e">
        <f>IF(M18="","",'PT ABC'!#REF!)</f>
        <v>#REF!</v>
      </c>
      <c r="O18" s="13" t="e">
        <f>IF(M18="","",'PT ABC'!#REF!)</f>
        <v>#REF!</v>
      </c>
      <c r="P18" s="14" t="s">
        <v>261</v>
      </c>
      <c r="Q18" s="1" t="e">
        <f>IF(100000000-'PT ABC'!#REF!&lt;0,'PT ABC'!#REF!,"")</f>
        <v>#REF!</v>
      </c>
      <c r="R18" s="6" t="e">
        <f>IF(Q18="","",'PT ABC'!#REF!)</f>
        <v>#REF!</v>
      </c>
      <c r="S18" s="15" t="e">
        <f>IF(Q18="","",'PT ABC'!#REF!)</f>
        <v>#REF!</v>
      </c>
      <c r="T18" s="7" t="e">
        <f>'PT ABC'!#REF!</f>
        <v>#REF!</v>
      </c>
      <c r="U18" s="11"/>
      <c r="V18" s="11" t="str">
        <f>'PT ABC'!M$5&amp;"     "&amp;'PT ABC'!M$3</f>
        <v>     </v>
      </c>
      <c r="W18" s="11" t="str">
        <f>'PT ABC'!O$2</f>
        <v>Payment at :-</v>
      </c>
      <c r="X18" s="11" t="str">
        <f>'PT ABC'!M$2</f>
        <v>Within 15 days</v>
      </c>
    </row>
    <row r="19" spans="1:24">
      <c r="A19" s="1">
        <v>1</v>
      </c>
      <c r="B19" s="5" t="s">
        <v>258</v>
      </c>
      <c r="C19" s="6">
        <f>'PT ABC'!G$5</f>
        <v>7008750</v>
      </c>
      <c r="D19" s="5">
        <v>1000</v>
      </c>
      <c r="E19" s="5">
        <v>302</v>
      </c>
      <c r="F19" s="1">
        <f>'PT ABC'!M$5</f>
        <v>0</v>
      </c>
      <c r="G19" s="7" t="e">
        <f>IF(M19="","",'PT ABC'!#REF!)</f>
        <v>#REF!</v>
      </c>
      <c r="H19" s="8" t="s">
        <v>259</v>
      </c>
      <c r="I19" s="1" t="e">
        <f t="shared" si="0"/>
        <v>#REF!</v>
      </c>
      <c r="J19" s="1" t="s">
        <v>260</v>
      </c>
      <c r="K19" s="10">
        <v>417772</v>
      </c>
      <c r="L19" s="11" t="str">
        <f>F19&amp;'PT ABC'!O$5</f>
        <v>0</v>
      </c>
      <c r="M19" s="12" t="e">
        <f>IF(100000000-'PT ABC'!#REF!&gt;0,'PT ABC'!#REF!,"")</f>
        <v>#REF!</v>
      </c>
      <c r="N19" s="1" t="e">
        <f>IF(M19="","",'PT ABC'!#REF!)</f>
        <v>#REF!</v>
      </c>
      <c r="O19" s="13" t="e">
        <f>IF(M19="","",'PT ABC'!#REF!)</f>
        <v>#REF!</v>
      </c>
      <c r="P19" s="14" t="s">
        <v>261</v>
      </c>
      <c r="Q19" s="1" t="e">
        <f>IF(100000000-'PT ABC'!#REF!&lt;0,'PT ABC'!#REF!,"")</f>
        <v>#REF!</v>
      </c>
      <c r="R19" s="6" t="e">
        <f>IF(Q19="","",'PT ABC'!#REF!)</f>
        <v>#REF!</v>
      </c>
      <c r="S19" s="15" t="e">
        <f>IF(Q19="","",'PT ABC'!#REF!)</f>
        <v>#REF!</v>
      </c>
      <c r="T19" s="7" t="e">
        <f>'PT ABC'!#REF!</f>
        <v>#REF!</v>
      </c>
      <c r="U19" s="11"/>
      <c r="V19" s="11" t="str">
        <f>'PT ABC'!M$5&amp;"     "&amp;'PT ABC'!M$3</f>
        <v>     </v>
      </c>
      <c r="W19" s="11" t="str">
        <f>'PT ABC'!O$2</f>
        <v>Payment at :-</v>
      </c>
      <c r="X19" s="11" t="str">
        <f>'PT ABC'!M$2</f>
        <v>Within 15 days</v>
      </c>
    </row>
    <row r="20" spans="1:24">
      <c r="A20" s="1">
        <v>1</v>
      </c>
      <c r="B20" s="5" t="s">
        <v>258</v>
      </c>
      <c r="C20" s="6">
        <f>'PT ABC'!G$5</f>
        <v>7008750</v>
      </c>
      <c r="D20" s="5">
        <v>1000</v>
      </c>
      <c r="E20" s="5">
        <v>302</v>
      </c>
      <c r="F20" s="1">
        <f>'PT ABC'!M$5</f>
        <v>0</v>
      </c>
      <c r="G20" s="7" t="e">
        <f>IF(M20="","",'PT ABC'!#REF!)</f>
        <v>#REF!</v>
      </c>
      <c r="H20" s="8" t="s">
        <v>259</v>
      </c>
      <c r="I20" s="1" t="e">
        <f t="shared" si="0"/>
        <v>#REF!</v>
      </c>
      <c r="J20" s="1" t="s">
        <v>260</v>
      </c>
      <c r="K20" s="10">
        <v>417772</v>
      </c>
      <c r="L20" s="11" t="str">
        <f>F20&amp;'PT ABC'!O$5</f>
        <v>0</v>
      </c>
      <c r="M20" s="12" t="e">
        <f>IF(100000000-'PT ABC'!#REF!&gt;0,'PT ABC'!#REF!,"")</f>
        <v>#REF!</v>
      </c>
      <c r="N20" s="1" t="e">
        <f>IF(M20="","",'PT ABC'!#REF!)</f>
        <v>#REF!</v>
      </c>
      <c r="O20" s="13" t="e">
        <f>IF(M20="","",'PT ABC'!#REF!)</f>
        <v>#REF!</v>
      </c>
      <c r="P20" s="14" t="s">
        <v>261</v>
      </c>
      <c r="Q20" s="1" t="e">
        <f>IF(100000000-'PT ABC'!#REF!&lt;0,'PT ABC'!#REF!,"")</f>
        <v>#REF!</v>
      </c>
      <c r="R20" s="6" t="e">
        <f>IF(Q20="","",'PT ABC'!#REF!)</f>
        <v>#REF!</v>
      </c>
      <c r="S20" s="15" t="e">
        <f>IF(Q20="","",'PT ABC'!#REF!)</f>
        <v>#REF!</v>
      </c>
      <c r="T20" s="7" t="e">
        <f>'PT ABC'!#REF!</f>
        <v>#REF!</v>
      </c>
      <c r="U20" s="11"/>
      <c r="V20" s="11" t="str">
        <f>'PT ABC'!M$5&amp;"     "&amp;'PT ABC'!M$3</f>
        <v>     </v>
      </c>
      <c r="W20" s="11" t="str">
        <f>'PT ABC'!O$2</f>
        <v>Payment at :-</v>
      </c>
      <c r="X20" s="11" t="str">
        <f>'PT ABC'!M$2</f>
        <v>Within 15 days</v>
      </c>
    </row>
    <row r="21" spans="1:24">
      <c r="A21" s="1">
        <v>1</v>
      </c>
      <c r="B21" s="5" t="s">
        <v>258</v>
      </c>
      <c r="C21" s="6">
        <f>'PT ABC'!G$5</f>
        <v>7008750</v>
      </c>
      <c r="D21" s="5">
        <v>1000</v>
      </c>
      <c r="E21" s="5">
        <v>302</v>
      </c>
      <c r="F21" s="1">
        <f>'PT ABC'!M$5</f>
        <v>0</v>
      </c>
      <c r="G21" s="7" t="e">
        <f>IF(M21="","",'PT ABC'!#REF!)</f>
        <v>#REF!</v>
      </c>
      <c r="H21" s="8" t="s">
        <v>259</v>
      </c>
      <c r="I21" s="1" t="e">
        <f t="shared" si="0"/>
        <v>#REF!</v>
      </c>
      <c r="J21" s="1" t="s">
        <v>260</v>
      </c>
      <c r="K21" s="10">
        <v>417772</v>
      </c>
      <c r="L21" s="11" t="str">
        <f>F21&amp;'PT ABC'!O$5</f>
        <v>0</v>
      </c>
      <c r="M21" s="12" t="e">
        <f>IF(100000000-'PT ABC'!#REF!&gt;0,'PT ABC'!#REF!,"")</f>
        <v>#REF!</v>
      </c>
      <c r="N21" s="1" t="e">
        <f>IF(M21="","",'PT ABC'!#REF!)</f>
        <v>#REF!</v>
      </c>
      <c r="O21" s="13" t="e">
        <f>IF(M21="","",'PT ABC'!#REF!)</f>
        <v>#REF!</v>
      </c>
      <c r="P21" s="14" t="s">
        <v>261</v>
      </c>
      <c r="Q21" s="1" t="e">
        <f>IF(100000000-'PT ABC'!#REF!&lt;0,'PT ABC'!#REF!,"")</f>
        <v>#REF!</v>
      </c>
      <c r="R21" s="6" t="e">
        <f>IF(Q21="","",'PT ABC'!#REF!)</f>
        <v>#REF!</v>
      </c>
      <c r="S21" s="15" t="e">
        <f>IF(Q21="","",'PT ABC'!#REF!)</f>
        <v>#REF!</v>
      </c>
      <c r="T21" s="7" t="e">
        <f>'PT ABC'!#REF!</f>
        <v>#REF!</v>
      </c>
      <c r="U21" s="11"/>
      <c r="V21" s="11" t="str">
        <f>'PT ABC'!M$5&amp;"     "&amp;'PT ABC'!M$3</f>
        <v>     </v>
      </c>
      <c r="W21" s="11" t="str">
        <f>'PT ABC'!O$2</f>
        <v>Payment at :-</v>
      </c>
      <c r="X21" s="11" t="str">
        <f>'PT ABC'!M$2</f>
        <v>Within 15 days</v>
      </c>
    </row>
    <row r="22" spans="1:24">
      <c r="A22" s="1">
        <v>1</v>
      </c>
      <c r="B22" s="5" t="s">
        <v>258</v>
      </c>
      <c r="C22" s="6">
        <f>'PT ABC'!G$5</f>
        <v>7008750</v>
      </c>
      <c r="D22" s="5">
        <v>1000</v>
      </c>
      <c r="E22" s="5">
        <v>302</v>
      </c>
      <c r="F22" s="1">
        <f>'PT ABC'!M$5</f>
        <v>0</v>
      </c>
      <c r="G22" s="7" t="e">
        <f>IF(M22="","",'PT ABC'!#REF!)</f>
        <v>#REF!</v>
      </c>
      <c r="H22" s="8" t="s">
        <v>259</v>
      </c>
      <c r="I22" s="1" t="e">
        <f t="shared" si="0"/>
        <v>#REF!</v>
      </c>
      <c r="J22" s="1" t="s">
        <v>260</v>
      </c>
      <c r="K22" s="10">
        <v>417772</v>
      </c>
      <c r="L22" s="11" t="str">
        <f>F22&amp;'PT ABC'!O$5</f>
        <v>0</v>
      </c>
      <c r="M22" s="12" t="e">
        <f>IF(100000000-'PT ABC'!#REF!&gt;0,'PT ABC'!#REF!,"")</f>
        <v>#REF!</v>
      </c>
      <c r="N22" s="1" t="e">
        <f>IF(M22="","",'PT ABC'!#REF!)</f>
        <v>#REF!</v>
      </c>
      <c r="O22" s="13" t="e">
        <f>IF(M22="","",'PT ABC'!#REF!)</f>
        <v>#REF!</v>
      </c>
      <c r="P22" s="14" t="s">
        <v>261</v>
      </c>
      <c r="Q22" s="1" t="e">
        <f>IF(100000000-'PT ABC'!#REF!&lt;0,'PT ABC'!#REF!,"")</f>
        <v>#REF!</v>
      </c>
      <c r="R22" s="6" t="e">
        <f>IF(Q22="","",'PT ABC'!#REF!)</f>
        <v>#REF!</v>
      </c>
      <c r="S22" s="15" t="e">
        <f>IF(Q22="","",'PT ABC'!#REF!)</f>
        <v>#REF!</v>
      </c>
      <c r="T22" s="7" t="e">
        <f>'PT ABC'!#REF!</f>
        <v>#REF!</v>
      </c>
      <c r="U22" s="11"/>
      <c r="V22" s="11" t="str">
        <f>'PT ABC'!M$5&amp;"     "&amp;'PT ABC'!M$3</f>
        <v>     </v>
      </c>
      <c r="W22" s="11" t="str">
        <f>'PT ABC'!O$2</f>
        <v>Payment at :-</v>
      </c>
      <c r="X22" s="11" t="str">
        <f>'PT ABC'!M$2</f>
        <v>Within 15 days</v>
      </c>
    </row>
    <row r="23" spans="1:24">
      <c r="A23" s="1">
        <v>1</v>
      </c>
      <c r="B23" s="5" t="s">
        <v>258</v>
      </c>
      <c r="C23" s="6">
        <f>'PT ABC'!G$5</f>
        <v>7008750</v>
      </c>
      <c r="D23" s="5">
        <v>1000</v>
      </c>
      <c r="E23" s="5">
        <v>302</v>
      </c>
      <c r="F23" s="1">
        <f>'PT ABC'!M$5</f>
        <v>0</v>
      </c>
      <c r="G23" s="7" t="e">
        <f>IF(M23="","",'PT ABC'!#REF!)</f>
        <v>#REF!</v>
      </c>
      <c r="H23" s="8" t="s">
        <v>259</v>
      </c>
      <c r="I23" s="1" t="e">
        <f t="shared" si="0"/>
        <v>#REF!</v>
      </c>
      <c r="J23" s="1" t="s">
        <v>260</v>
      </c>
      <c r="K23" s="10">
        <v>417772</v>
      </c>
      <c r="L23" s="11" t="str">
        <f>F23&amp;'PT ABC'!O$5</f>
        <v>0</v>
      </c>
      <c r="M23" s="12" t="e">
        <f>IF(100000000-'PT ABC'!#REF!&gt;0,'PT ABC'!#REF!,"")</f>
        <v>#REF!</v>
      </c>
      <c r="N23" s="1" t="e">
        <f>IF(M23="","",'PT ABC'!#REF!)</f>
        <v>#REF!</v>
      </c>
      <c r="O23" s="13" t="e">
        <f>IF(M23="","",'PT ABC'!#REF!)</f>
        <v>#REF!</v>
      </c>
      <c r="P23" s="14" t="s">
        <v>261</v>
      </c>
      <c r="Q23" s="1" t="e">
        <f>IF(100000000-'PT ABC'!#REF!&lt;0,'PT ABC'!#REF!,"")</f>
        <v>#REF!</v>
      </c>
      <c r="R23" s="6" t="e">
        <f>IF(Q23="","",'PT ABC'!#REF!)</f>
        <v>#REF!</v>
      </c>
      <c r="S23" s="15" t="e">
        <f>IF(Q23="","",'PT ABC'!#REF!)</f>
        <v>#REF!</v>
      </c>
      <c r="T23" s="7" t="e">
        <f>'PT ABC'!#REF!</f>
        <v>#REF!</v>
      </c>
      <c r="U23" s="11"/>
      <c r="V23" s="11" t="str">
        <f>'PT ABC'!M$5&amp;"     "&amp;'PT ABC'!M$3</f>
        <v>     </v>
      </c>
      <c r="W23" s="11" t="str">
        <f>'PT ABC'!O$2</f>
        <v>Payment at :-</v>
      </c>
      <c r="X23" s="11" t="str">
        <f>'PT ABC'!M$2</f>
        <v>Within 15 days</v>
      </c>
    </row>
    <row r="24" spans="1:24">
      <c r="A24" s="1">
        <v>1</v>
      </c>
      <c r="B24" s="5" t="s">
        <v>258</v>
      </c>
      <c r="C24" s="6">
        <f>'PT ABC'!G$5</f>
        <v>7008750</v>
      </c>
      <c r="D24" s="5">
        <v>1000</v>
      </c>
      <c r="E24" s="5">
        <v>302</v>
      </c>
      <c r="F24" s="1">
        <f>'PT ABC'!M$5</f>
        <v>0</v>
      </c>
      <c r="G24" s="7" t="e">
        <f>IF(M24="","",'PT ABC'!#REF!)</f>
        <v>#REF!</v>
      </c>
      <c r="H24" s="8" t="s">
        <v>259</v>
      </c>
      <c r="I24" s="1" t="e">
        <f t="shared" si="0"/>
        <v>#REF!</v>
      </c>
      <c r="J24" s="1" t="s">
        <v>260</v>
      </c>
      <c r="K24" s="10">
        <v>417772</v>
      </c>
      <c r="L24" s="11" t="str">
        <f>F24&amp;'PT ABC'!O$5</f>
        <v>0</v>
      </c>
      <c r="M24" s="12" t="e">
        <f>IF(100000000-'PT ABC'!#REF!&gt;0,'PT ABC'!#REF!,"")</f>
        <v>#REF!</v>
      </c>
      <c r="N24" s="1" t="e">
        <f>IF(M24="","",'PT ABC'!#REF!)</f>
        <v>#REF!</v>
      </c>
      <c r="O24" s="13" t="e">
        <f>IF(M24="","",'PT ABC'!#REF!)</f>
        <v>#REF!</v>
      </c>
      <c r="P24" s="14" t="s">
        <v>261</v>
      </c>
      <c r="Q24" s="1" t="e">
        <f>IF(100000000-'PT ABC'!#REF!&lt;0,'PT ABC'!#REF!,"")</f>
        <v>#REF!</v>
      </c>
      <c r="R24" s="6" t="e">
        <f>IF(Q24="","",'PT ABC'!#REF!)</f>
        <v>#REF!</v>
      </c>
      <c r="S24" s="15" t="e">
        <f>IF(Q24="","",'PT ABC'!#REF!)</f>
        <v>#REF!</v>
      </c>
      <c r="T24" s="7" t="e">
        <f>'PT ABC'!#REF!</f>
        <v>#REF!</v>
      </c>
      <c r="U24" s="11"/>
      <c r="V24" s="11" t="str">
        <f>'PT ABC'!M$5&amp;"     "&amp;'PT ABC'!M$3</f>
        <v>     </v>
      </c>
      <c r="W24" s="11" t="str">
        <f>'PT ABC'!O$2</f>
        <v>Payment at :-</v>
      </c>
      <c r="X24" s="11" t="str">
        <f>'PT ABC'!M$2</f>
        <v>Within 15 days</v>
      </c>
    </row>
    <row r="25" spans="1:24">
      <c r="A25" s="1">
        <v>1</v>
      </c>
      <c r="B25" s="5" t="s">
        <v>258</v>
      </c>
      <c r="C25" s="6">
        <f>'PT ABC'!G$5</f>
        <v>7008750</v>
      </c>
      <c r="D25" s="5">
        <v>1000</v>
      </c>
      <c r="E25" s="5">
        <v>302</v>
      </c>
      <c r="F25" s="1">
        <f>'PT ABC'!M$5</f>
        <v>0</v>
      </c>
      <c r="G25" s="7" t="e">
        <f>IF(M25="","",'PT ABC'!#REF!)</f>
        <v>#REF!</v>
      </c>
      <c r="H25" s="8" t="s">
        <v>259</v>
      </c>
      <c r="I25" s="1" t="e">
        <f t="shared" si="0"/>
        <v>#REF!</v>
      </c>
      <c r="J25" s="1" t="s">
        <v>260</v>
      </c>
      <c r="K25" s="10">
        <v>417772</v>
      </c>
      <c r="L25" s="11" t="str">
        <f>F25&amp;'PT ABC'!O$5</f>
        <v>0</v>
      </c>
      <c r="M25" s="12" t="e">
        <f>IF(100000000-'PT ABC'!#REF!&gt;0,'PT ABC'!#REF!,"")</f>
        <v>#REF!</v>
      </c>
      <c r="N25" s="1" t="e">
        <f>IF(M25="","",'PT ABC'!#REF!)</f>
        <v>#REF!</v>
      </c>
      <c r="O25" s="13" t="e">
        <f>IF(M25="","",'PT ABC'!#REF!)</f>
        <v>#REF!</v>
      </c>
      <c r="P25" s="14" t="s">
        <v>261</v>
      </c>
      <c r="Q25" s="1" t="e">
        <f>IF(100000000-'PT ABC'!#REF!&lt;0,'PT ABC'!#REF!,"")</f>
        <v>#REF!</v>
      </c>
      <c r="R25" s="6" t="e">
        <f>IF(Q25="","",'PT ABC'!#REF!)</f>
        <v>#REF!</v>
      </c>
      <c r="S25" s="15" t="e">
        <f>IF(Q25="","",'PT ABC'!#REF!)</f>
        <v>#REF!</v>
      </c>
      <c r="T25" s="7" t="e">
        <f>'PT ABC'!#REF!</f>
        <v>#REF!</v>
      </c>
      <c r="U25" s="11"/>
      <c r="V25" s="11" t="str">
        <f>'PT ABC'!M$5&amp;"     "&amp;'PT ABC'!M$3</f>
        <v>     </v>
      </c>
      <c r="W25" s="11" t="str">
        <f>'PT ABC'!O$2</f>
        <v>Payment at :-</v>
      </c>
      <c r="X25" s="11" t="str">
        <f>'PT ABC'!M$2</f>
        <v>Within 15 days</v>
      </c>
    </row>
    <row r="26" spans="1:24">
      <c r="A26" s="1">
        <v>1</v>
      </c>
      <c r="B26" s="5" t="s">
        <v>258</v>
      </c>
      <c r="C26" s="6">
        <f>'PT ABC'!G$5</f>
        <v>7008750</v>
      </c>
      <c r="D26" s="5">
        <v>1000</v>
      </c>
      <c r="E26" s="5">
        <v>302</v>
      </c>
      <c r="F26" s="1">
        <f>'PT ABC'!M$5</f>
        <v>0</v>
      </c>
      <c r="G26" s="7" t="e">
        <f>IF(M26="","",'PT ABC'!#REF!)</f>
        <v>#REF!</v>
      </c>
      <c r="H26" s="8" t="s">
        <v>259</v>
      </c>
      <c r="I26" s="1" t="e">
        <f t="shared" si="0"/>
        <v>#REF!</v>
      </c>
      <c r="J26" s="1" t="s">
        <v>260</v>
      </c>
      <c r="K26" s="10">
        <v>417772</v>
      </c>
      <c r="L26" s="11" t="str">
        <f>F26&amp;'PT ABC'!O$5</f>
        <v>0</v>
      </c>
      <c r="M26" s="12" t="e">
        <f>IF(100000000-'PT ABC'!#REF!&gt;0,'PT ABC'!#REF!,"")</f>
        <v>#REF!</v>
      </c>
      <c r="N26" s="1" t="e">
        <f>IF(M26="","",'PT ABC'!#REF!)</f>
        <v>#REF!</v>
      </c>
      <c r="O26" s="13" t="e">
        <f>IF(M26="","",'PT ABC'!#REF!)</f>
        <v>#REF!</v>
      </c>
      <c r="P26" s="14" t="s">
        <v>261</v>
      </c>
      <c r="Q26" s="1" t="e">
        <f>IF(100000000-'PT ABC'!#REF!&lt;0,'PT ABC'!#REF!,"")</f>
        <v>#REF!</v>
      </c>
      <c r="R26" s="6" t="e">
        <f>IF(Q26="","",'PT ABC'!#REF!)</f>
        <v>#REF!</v>
      </c>
      <c r="S26" s="15" t="e">
        <f>IF(Q26="","",'PT ABC'!#REF!)</f>
        <v>#REF!</v>
      </c>
      <c r="T26" s="7" t="e">
        <f>'PT ABC'!#REF!</f>
        <v>#REF!</v>
      </c>
      <c r="U26" s="11"/>
      <c r="V26" s="11" t="str">
        <f>'PT ABC'!M$5&amp;"     "&amp;'PT ABC'!M$3</f>
        <v>     </v>
      </c>
      <c r="W26" s="11" t="str">
        <f>'PT ABC'!O$2</f>
        <v>Payment at :-</v>
      </c>
      <c r="X26" s="11" t="str">
        <f>'PT ABC'!M$2</f>
        <v>Within 15 days</v>
      </c>
    </row>
    <row r="27" spans="1:24">
      <c r="A27" s="1">
        <v>1</v>
      </c>
      <c r="B27" s="5" t="s">
        <v>258</v>
      </c>
      <c r="C27" s="6">
        <f>'PT ABC'!G$5</f>
        <v>7008750</v>
      </c>
      <c r="D27" s="5">
        <v>1000</v>
      </c>
      <c r="E27" s="5">
        <v>302</v>
      </c>
      <c r="F27" s="1">
        <f>'PT ABC'!M$5</f>
        <v>0</v>
      </c>
      <c r="G27" s="7" t="e">
        <f>IF(M27="","",'PT ABC'!#REF!)</f>
        <v>#REF!</v>
      </c>
      <c r="H27" s="8" t="s">
        <v>259</v>
      </c>
      <c r="I27" s="1" t="e">
        <f t="shared" si="0"/>
        <v>#REF!</v>
      </c>
      <c r="J27" s="1" t="s">
        <v>260</v>
      </c>
      <c r="K27" s="10">
        <v>417772</v>
      </c>
      <c r="L27" s="11" t="str">
        <f>F27&amp;'PT ABC'!O$5</f>
        <v>0</v>
      </c>
      <c r="M27" s="12" t="e">
        <f>IF(100000000-'PT ABC'!#REF!&gt;0,'PT ABC'!#REF!,"")</f>
        <v>#REF!</v>
      </c>
      <c r="N27" s="1" t="e">
        <f>IF(M27="","",'PT ABC'!#REF!)</f>
        <v>#REF!</v>
      </c>
      <c r="O27" s="13" t="e">
        <f>IF(M27="","",'PT ABC'!#REF!)</f>
        <v>#REF!</v>
      </c>
      <c r="P27" s="14" t="s">
        <v>261</v>
      </c>
      <c r="Q27" s="1" t="e">
        <f>IF(100000000-'PT ABC'!#REF!&lt;0,'PT ABC'!#REF!,"")</f>
        <v>#REF!</v>
      </c>
      <c r="R27" s="6" t="e">
        <f>IF(Q27="","",'PT ABC'!#REF!)</f>
        <v>#REF!</v>
      </c>
      <c r="S27" s="15" t="e">
        <f>IF(Q27="","",'PT ABC'!#REF!)</f>
        <v>#REF!</v>
      </c>
      <c r="T27" s="7" t="e">
        <f>'PT ABC'!#REF!</f>
        <v>#REF!</v>
      </c>
      <c r="U27" s="11"/>
      <c r="V27" s="11" t="str">
        <f>'PT ABC'!M$5&amp;"     "&amp;'PT ABC'!M$3</f>
        <v>     </v>
      </c>
      <c r="W27" s="11" t="str">
        <f>'PT ABC'!O$2</f>
        <v>Payment at :-</v>
      </c>
      <c r="X27" s="11" t="str">
        <f>'PT ABC'!M$2</f>
        <v>Within 15 days</v>
      </c>
    </row>
    <row r="28" spans="1:24">
      <c r="A28" s="1">
        <v>1</v>
      </c>
      <c r="B28" s="5" t="s">
        <v>258</v>
      </c>
      <c r="C28" s="6">
        <f>'PT ABC'!G$5</f>
        <v>7008750</v>
      </c>
      <c r="D28" s="5">
        <v>1000</v>
      </c>
      <c r="E28" s="5">
        <v>302</v>
      </c>
      <c r="F28" s="1">
        <f>'PT ABC'!M$5</f>
        <v>0</v>
      </c>
      <c r="G28" s="7" t="e">
        <f>IF(M28="","",'PT ABC'!#REF!)</f>
        <v>#REF!</v>
      </c>
      <c r="H28" s="8" t="s">
        <v>259</v>
      </c>
      <c r="I28" s="1" t="e">
        <f t="shared" si="0"/>
        <v>#REF!</v>
      </c>
      <c r="J28" s="1" t="s">
        <v>260</v>
      </c>
      <c r="K28" s="10">
        <v>417772</v>
      </c>
      <c r="L28" s="11" t="str">
        <f>F28&amp;'PT ABC'!O$5</f>
        <v>0</v>
      </c>
      <c r="M28" s="12" t="e">
        <f>IF(100000000-'PT ABC'!#REF!&gt;0,'PT ABC'!#REF!,"")</f>
        <v>#REF!</v>
      </c>
      <c r="N28" s="1" t="e">
        <f>IF(M28="","",'PT ABC'!#REF!)</f>
        <v>#REF!</v>
      </c>
      <c r="O28" s="13" t="e">
        <f>IF(M28="","",'PT ABC'!#REF!)</f>
        <v>#REF!</v>
      </c>
      <c r="P28" s="14" t="s">
        <v>261</v>
      </c>
      <c r="Q28" s="1" t="e">
        <f>IF(100000000-'PT ABC'!#REF!&lt;0,'PT ABC'!#REF!,"")</f>
        <v>#REF!</v>
      </c>
      <c r="R28" s="6" t="e">
        <f>IF(Q28="","",'PT ABC'!#REF!)</f>
        <v>#REF!</v>
      </c>
      <c r="S28" s="15" t="e">
        <f>IF(Q28="","",'PT ABC'!#REF!)</f>
        <v>#REF!</v>
      </c>
      <c r="T28" s="7" t="e">
        <f>'PT ABC'!#REF!</f>
        <v>#REF!</v>
      </c>
      <c r="U28" s="11"/>
      <c r="V28" s="11" t="str">
        <f>'PT ABC'!M$5&amp;"     "&amp;'PT ABC'!M$3</f>
        <v>     </v>
      </c>
      <c r="W28" s="11" t="str">
        <f>'PT ABC'!O$2</f>
        <v>Payment at :-</v>
      </c>
      <c r="X28" s="11" t="str">
        <f>'PT ABC'!M$2</f>
        <v>Within 15 days</v>
      </c>
    </row>
    <row r="29" spans="1:24">
      <c r="A29" s="1">
        <v>1</v>
      </c>
      <c r="B29" s="5" t="s">
        <v>258</v>
      </c>
      <c r="C29" s="6">
        <f>'PT ABC'!G$5</f>
        <v>7008750</v>
      </c>
      <c r="D29" s="5">
        <v>1000</v>
      </c>
      <c r="E29" s="5">
        <v>302</v>
      </c>
      <c r="F29" s="1">
        <f>'PT ABC'!M$5</f>
        <v>0</v>
      </c>
      <c r="G29" s="7" t="e">
        <f>IF(M29="","",'PT ABC'!#REF!)</f>
        <v>#REF!</v>
      </c>
      <c r="H29" s="8" t="s">
        <v>259</v>
      </c>
      <c r="I29" s="1" t="e">
        <f t="shared" si="0"/>
        <v>#REF!</v>
      </c>
      <c r="J29" s="1" t="s">
        <v>260</v>
      </c>
      <c r="K29" s="10">
        <v>417772</v>
      </c>
      <c r="L29" s="11" t="str">
        <f>F29&amp;'PT ABC'!O$5</f>
        <v>0</v>
      </c>
      <c r="M29" s="12" t="e">
        <f>IF(100000000-'PT ABC'!#REF!&gt;0,'PT ABC'!#REF!,"")</f>
        <v>#REF!</v>
      </c>
      <c r="N29" s="1" t="e">
        <f>IF(M29="","",'PT ABC'!#REF!)</f>
        <v>#REF!</v>
      </c>
      <c r="O29" s="13" t="e">
        <f>IF(M29="","",'PT ABC'!#REF!)</f>
        <v>#REF!</v>
      </c>
      <c r="P29" s="14" t="s">
        <v>261</v>
      </c>
      <c r="Q29" s="1" t="e">
        <f>IF(100000000-'PT ABC'!#REF!&lt;0,'PT ABC'!#REF!,"")</f>
        <v>#REF!</v>
      </c>
      <c r="R29" s="6" t="e">
        <f>IF(Q29="","",'PT ABC'!#REF!)</f>
        <v>#REF!</v>
      </c>
      <c r="S29" s="15" t="e">
        <f>IF(Q29="","",'PT ABC'!#REF!)</f>
        <v>#REF!</v>
      </c>
      <c r="T29" s="7" t="e">
        <f>'PT ABC'!#REF!</f>
        <v>#REF!</v>
      </c>
      <c r="U29" s="11"/>
      <c r="V29" s="11" t="str">
        <f>'PT ABC'!M$5&amp;"     "&amp;'PT ABC'!M$3</f>
        <v>     </v>
      </c>
      <c r="W29" s="11" t="str">
        <f>'PT ABC'!O$2</f>
        <v>Payment at :-</v>
      </c>
      <c r="X29" s="11" t="str">
        <f>'PT ABC'!M$2</f>
        <v>Within 15 days</v>
      </c>
    </row>
    <row r="30" spans="1:24">
      <c r="A30" s="1">
        <v>1</v>
      </c>
      <c r="B30" s="5" t="s">
        <v>258</v>
      </c>
      <c r="C30" s="6">
        <f>'PT ABC'!G$5</f>
        <v>7008750</v>
      </c>
      <c r="D30" s="5">
        <v>1000</v>
      </c>
      <c r="E30" s="5">
        <v>302</v>
      </c>
      <c r="F30" s="1">
        <f>'PT ABC'!M$5</f>
        <v>0</v>
      </c>
      <c r="G30" s="7" t="e">
        <f>IF(M30="","",'PT ABC'!#REF!)</f>
        <v>#REF!</v>
      </c>
      <c r="H30" s="8" t="s">
        <v>259</v>
      </c>
      <c r="I30" s="1" t="e">
        <f t="shared" si="0"/>
        <v>#REF!</v>
      </c>
      <c r="J30" s="1" t="s">
        <v>260</v>
      </c>
      <c r="K30" s="10">
        <v>417772</v>
      </c>
      <c r="L30" s="11" t="str">
        <f>F30&amp;'PT ABC'!O$5</f>
        <v>0</v>
      </c>
      <c r="M30" s="12" t="e">
        <f>IF(100000000-'PT ABC'!#REF!&gt;0,'PT ABC'!#REF!,"")</f>
        <v>#REF!</v>
      </c>
      <c r="N30" s="1" t="e">
        <f>IF(M30="","",'PT ABC'!#REF!)</f>
        <v>#REF!</v>
      </c>
      <c r="O30" s="13" t="e">
        <f>IF(M30="","",'PT ABC'!#REF!)</f>
        <v>#REF!</v>
      </c>
      <c r="P30" s="14" t="s">
        <v>261</v>
      </c>
      <c r="Q30" s="1" t="e">
        <f>IF(100000000-'PT ABC'!#REF!&lt;0,'PT ABC'!#REF!,"")</f>
        <v>#REF!</v>
      </c>
      <c r="R30" s="6" t="e">
        <f>IF(Q30="","",'PT ABC'!#REF!)</f>
        <v>#REF!</v>
      </c>
      <c r="S30" s="15" t="e">
        <f>IF(Q30="","",'PT ABC'!#REF!)</f>
        <v>#REF!</v>
      </c>
      <c r="T30" s="7" t="e">
        <f>'PT ABC'!#REF!</f>
        <v>#REF!</v>
      </c>
      <c r="U30" s="11"/>
      <c r="V30" s="11" t="str">
        <f>'PT ABC'!M$5&amp;"     "&amp;'PT ABC'!M$3</f>
        <v>     </v>
      </c>
      <c r="W30" s="11" t="str">
        <f>'PT ABC'!O$2</f>
        <v>Payment at :-</v>
      </c>
      <c r="X30" s="11" t="str">
        <f>'PT ABC'!M$2</f>
        <v>Within 15 days</v>
      </c>
    </row>
    <row r="31" spans="1:24">
      <c r="A31" s="1">
        <v>1</v>
      </c>
      <c r="B31" s="5" t="s">
        <v>258</v>
      </c>
      <c r="C31" s="6">
        <f>'PT ABC'!G$5</f>
        <v>7008750</v>
      </c>
      <c r="D31" s="5">
        <v>1000</v>
      </c>
      <c r="E31" s="5">
        <v>302</v>
      </c>
      <c r="F31" s="1">
        <f>'PT ABC'!M$5</f>
        <v>0</v>
      </c>
      <c r="G31" s="7" t="e">
        <f>IF(M31="","",'PT ABC'!#REF!)</f>
        <v>#REF!</v>
      </c>
      <c r="H31" s="8" t="s">
        <v>259</v>
      </c>
      <c r="I31" s="1" t="e">
        <f t="shared" si="0"/>
        <v>#REF!</v>
      </c>
      <c r="J31" s="1" t="s">
        <v>260</v>
      </c>
      <c r="K31" s="10">
        <v>417772</v>
      </c>
      <c r="L31" s="11" t="str">
        <f>F31&amp;'PT ABC'!O$5</f>
        <v>0</v>
      </c>
      <c r="M31" s="12" t="e">
        <f>IF(100000000-'PT ABC'!#REF!&gt;0,'PT ABC'!#REF!,"")</f>
        <v>#REF!</v>
      </c>
      <c r="N31" s="1" t="e">
        <f>IF(M31="","",'PT ABC'!#REF!)</f>
        <v>#REF!</v>
      </c>
      <c r="O31" s="13" t="e">
        <f>IF(M31="","",'PT ABC'!#REF!)</f>
        <v>#REF!</v>
      </c>
      <c r="P31" s="14" t="s">
        <v>261</v>
      </c>
      <c r="Q31" s="1" t="e">
        <f>IF(100000000-'PT ABC'!#REF!&lt;0,'PT ABC'!#REF!,"")</f>
        <v>#REF!</v>
      </c>
      <c r="R31" s="6" t="e">
        <f>IF(Q31="","",'PT ABC'!#REF!)</f>
        <v>#REF!</v>
      </c>
      <c r="S31" s="15" t="e">
        <f>IF(Q31="","",'PT ABC'!#REF!)</f>
        <v>#REF!</v>
      </c>
      <c r="T31" s="7" t="e">
        <f>'PT ABC'!#REF!</f>
        <v>#REF!</v>
      </c>
      <c r="U31" s="11"/>
      <c r="V31" s="11" t="str">
        <f>'PT ABC'!M$5&amp;"     "&amp;'PT ABC'!M$3</f>
        <v>     </v>
      </c>
      <c r="W31" s="11" t="str">
        <f>'PT ABC'!O$2</f>
        <v>Payment at :-</v>
      </c>
      <c r="X31" s="11" t="str">
        <f>'PT ABC'!M$2</f>
        <v>Within 15 days</v>
      </c>
    </row>
    <row r="32" spans="1:24">
      <c r="A32" s="1">
        <v>1</v>
      </c>
      <c r="B32" s="5" t="s">
        <v>258</v>
      </c>
      <c r="C32" s="6">
        <f>'PT ABC'!G$5</f>
        <v>7008750</v>
      </c>
      <c r="D32" s="5">
        <v>1000</v>
      </c>
      <c r="E32" s="5">
        <v>302</v>
      </c>
      <c r="F32" s="1">
        <f>'PT ABC'!M$5</f>
        <v>0</v>
      </c>
      <c r="G32" s="7" t="e">
        <f>IF(M32="","",'PT ABC'!#REF!)</f>
        <v>#REF!</v>
      </c>
      <c r="H32" s="8" t="s">
        <v>259</v>
      </c>
      <c r="I32" s="1" t="e">
        <f t="shared" si="0"/>
        <v>#REF!</v>
      </c>
      <c r="J32" s="1" t="s">
        <v>260</v>
      </c>
      <c r="K32" s="10">
        <v>417772</v>
      </c>
      <c r="L32" s="11" t="str">
        <f>F32&amp;'PT ABC'!O$5</f>
        <v>0</v>
      </c>
      <c r="M32" s="12" t="e">
        <f>IF(100000000-'PT ABC'!#REF!&gt;0,'PT ABC'!#REF!,"")</f>
        <v>#REF!</v>
      </c>
      <c r="N32" s="1" t="e">
        <f>IF(M32="","",'PT ABC'!#REF!)</f>
        <v>#REF!</v>
      </c>
      <c r="O32" s="13" t="e">
        <f>IF(M32="","",'PT ABC'!#REF!)</f>
        <v>#REF!</v>
      </c>
      <c r="P32" s="14" t="s">
        <v>261</v>
      </c>
      <c r="Q32" s="1" t="e">
        <f>IF(100000000-'PT ABC'!#REF!&lt;0,'PT ABC'!#REF!,"")</f>
        <v>#REF!</v>
      </c>
      <c r="R32" s="6" t="e">
        <f>IF(Q32="","",'PT ABC'!#REF!)</f>
        <v>#REF!</v>
      </c>
      <c r="S32" s="15" t="e">
        <f>IF(Q32="","",'PT ABC'!#REF!)</f>
        <v>#REF!</v>
      </c>
      <c r="T32" s="7" t="e">
        <f>'PT ABC'!#REF!</f>
        <v>#REF!</v>
      </c>
      <c r="U32" s="11"/>
      <c r="V32" s="11" t="str">
        <f>'PT ABC'!M$5&amp;"     "&amp;'PT ABC'!M$3</f>
        <v>     </v>
      </c>
      <c r="W32" s="11" t="str">
        <f>'PT ABC'!O$2</f>
        <v>Payment at :-</v>
      </c>
      <c r="X32" s="11" t="str">
        <f>'PT ABC'!M$2</f>
        <v>Within 15 days</v>
      </c>
    </row>
    <row r="33" spans="1:24">
      <c r="A33" s="1">
        <v>1</v>
      </c>
      <c r="B33" s="5" t="s">
        <v>258</v>
      </c>
      <c r="C33" s="6">
        <f>'PT ABC'!G$5</f>
        <v>7008750</v>
      </c>
      <c r="D33" s="5">
        <v>1000</v>
      </c>
      <c r="E33" s="5">
        <v>302</v>
      </c>
      <c r="F33" s="1">
        <f>'PT ABC'!M$5</f>
        <v>0</v>
      </c>
      <c r="G33" s="7" t="e">
        <f>IF(M33="","",'PT ABC'!#REF!)</f>
        <v>#REF!</v>
      </c>
      <c r="H33" s="8" t="s">
        <v>259</v>
      </c>
      <c r="I33" s="1" t="e">
        <f t="shared" si="0"/>
        <v>#REF!</v>
      </c>
      <c r="J33" s="1" t="s">
        <v>260</v>
      </c>
      <c r="K33" s="10">
        <v>417772</v>
      </c>
      <c r="L33" s="11" t="str">
        <f>F33&amp;'PT ABC'!O$5</f>
        <v>0</v>
      </c>
      <c r="M33" s="12" t="e">
        <f>IF(100000000-'PT ABC'!#REF!&gt;0,'PT ABC'!#REF!,"")</f>
        <v>#REF!</v>
      </c>
      <c r="N33" s="1" t="e">
        <f>IF(M33="","",'PT ABC'!#REF!)</f>
        <v>#REF!</v>
      </c>
      <c r="O33" s="13" t="e">
        <f>IF(M33="","",'PT ABC'!#REF!)</f>
        <v>#REF!</v>
      </c>
      <c r="P33" s="14" t="s">
        <v>261</v>
      </c>
      <c r="Q33" s="1" t="e">
        <f>IF(100000000-'PT ABC'!#REF!&lt;0,'PT ABC'!#REF!,"")</f>
        <v>#REF!</v>
      </c>
      <c r="R33" s="6" t="e">
        <f>IF(Q33="","",'PT ABC'!#REF!)</f>
        <v>#REF!</v>
      </c>
      <c r="S33" s="15" t="e">
        <f>IF(Q33="","",'PT ABC'!#REF!)</f>
        <v>#REF!</v>
      </c>
      <c r="T33" s="7" t="e">
        <f>'PT ABC'!#REF!</f>
        <v>#REF!</v>
      </c>
      <c r="U33" s="11"/>
      <c r="V33" s="11" t="str">
        <f>'PT ABC'!M$5&amp;"     "&amp;'PT ABC'!M$3</f>
        <v>     </v>
      </c>
      <c r="W33" s="11" t="str">
        <f>'PT ABC'!O$2</f>
        <v>Payment at :-</v>
      </c>
      <c r="X33" s="11" t="str">
        <f>'PT ABC'!M$2</f>
        <v>Within 15 days</v>
      </c>
    </row>
    <row r="34" spans="1:24">
      <c r="A34" s="1">
        <v>1</v>
      </c>
      <c r="B34" s="5" t="s">
        <v>258</v>
      </c>
      <c r="C34" s="6">
        <f>'PT ABC'!G$5</f>
        <v>7008750</v>
      </c>
      <c r="D34" s="5">
        <v>1000</v>
      </c>
      <c r="E34" s="5">
        <v>302</v>
      </c>
      <c r="F34" s="1">
        <f>'PT ABC'!M$5</f>
        <v>0</v>
      </c>
      <c r="G34" s="7" t="e">
        <f>IF(M34="","",'PT ABC'!#REF!)</f>
        <v>#REF!</v>
      </c>
      <c r="H34" s="8" t="s">
        <v>259</v>
      </c>
      <c r="I34" s="1" t="e">
        <f t="shared" si="0"/>
        <v>#REF!</v>
      </c>
      <c r="J34" s="1" t="s">
        <v>260</v>
      </c>
      <c r="K34" s="10">
        <v>417772</v>
      </c>
      <c r="L34" s="11" t="str">
        <f>F34&amp;'PT ABC'!O$5</f>
        <v>0</v>
      </c>
      <c r="M34" s="12" t="e">
        <f>IF(100000000-'PT ABC'!#REF!&gt;0,'PT ABC'!#REF!,"")</f>
        <v>#REF!</v>
      </c>
      <c r="N34" s="1" t="e">
        <f>IF(M34="","",'PT ABC'!#REF!)</f>
        <v>#REF!</v>
      </c>
      <c r="O34" s="13" t="e">
        <f>IF(M34="","",'PT ABC'!#REF!)</f>
        <v>#REF!</v>
      </c>
      <c r="P34" s="14" t="s">
        <v>261</v>
      </c>
      <c r="Q34" s="1" t="e">
        <f>IF(100000000-'PT ABC'!#REF!&lt;0,'PT ABC'!#REF!,"")</f>
        <v>#REF!</v>
      </c>
      <c r="R34" s="6" t="e">
        <f>IF(Q34="","",'PT ABC'!#REF!)</f>
        <v>#REF!</v>
      </c>
      <c r="S34" s="15" t="e">
        <f>IF(Q34="","",'PT ABC'!#REF!)</f>
        <v>#REF!</v>
      </c>
      <c r="T34" s="7" t="e">
        <f>'PT ABC'!#REF!</f>
        <v>#REF!</v>
      </c>
      <c r="U34" s="11"/>
      <c r="V34" s="11" t="str">
        <f>'PT ABC'!M$5&amp;"     "&amp;'PT ABC'!M$3</f>
        <v>     </v>
      </c>
      <c r="W34" s="11" t="str">
        <f>'PT ABC'!O$2</f>
        <v>Payment at :-</v>
      </c>
      <c r="X34" s="11" t="str">
        <f>'PT ABC'!M$2</f>
        <v>Within 15 days</v>
      </c>
    </row>
    <row r="35" spans="1:24">
      <c r="A35" s="1">
        <v>1</v>
      </c>
      <c r="B35" s="5" t="s">
        <v>258</v>
      </c>
      <c r="C35" s="6">
        <f>'PT ABC'!G$5</f>
        <v>7008750</v>
      </c>
      <c r="D35" s="5">
        <v>1000</v>
      </c>
      <c r="E35" s="5">
        <v>302</v>
      </c>
      <c r="F35" s="1">
        <f>'PT ABC'!M$5</f>
        <v>0</v>
      </c>
      <c r="G35" s="7" t="e">
        <f>IF(M35="","",'PT ABC'!#REF!)</f>
        <v>#REF!</v>
      </c>
      <c r="H35" s="8" t="s">
        <v>259</v>
      </c>
      <c r="I35" s="1" t="e">
        <f t="shared" si="0"/>
        <v>#REF!</v>
      </c>
      <c r="J35" s="1" t="s">
        <v>260</v>
      </c>
      <c r="K35" s="10">
        <v>417772</v>
      </c>
      <c r="L35" s="11" t="str">
        <f>F35&amp;'PT ABC'!O$5</f>
        <v>0</v>
      </c>
      <c r="M35" s="12" t="e">
        <f>IF(100000000-'PT ABC'!#REF!&gt;0,'PT ABC'!#REF!,"")</f>
        <v>#REF!</v>
      </c>
      <c r="N35" s="1" t="e">
        <f>IF(M35="","",'PT ABC'!#REF!)</f>
        <v>#REF!</v>
      </c>
      <c r="O35" s="13" t="e">
        <f>IF(M35="","",'PT ABC'!#REF!)</f>
        <v>#REF!</v>
      </c>
      <c r="P35" s="14" t="s">
        <v>261</v>
      </c>
      <c r="Q35" s="1" t="e">
        <f>IF(100000000-'PT ABC'!#REF!&lt;0,'PT ABC'!#REF!,"")</f>
        <v>#REF!</v>
      </c>
      <c r="R35" s="6" t="e">
        <f>IF(Q35="","",'PT ABC'!#REF!)</f>
        <v>#REF!</v>
      </c>
      <c r="S35" s="15" t="e">
        <f>IF(Q35="","",'PT ABC'!#REF!)</f>
        <v>#REF!</v>
      </c>
      <c r="T35" s="7" t="e">
        <f>'PT ABC'!#REF!</f>
        <v>#REF!</v>
      </c>
      <c r="U35" s="11"/>
      <c r="V35" s="11" t="str">
        <f>'PT ABC'!M$5&amp;"     "&amp;'PT ABC'!M$3</f>
        <v>     </v>
      </c>
      <c r="W35" s="11" t="str">
        <f>'PT ABC'!O$2</f>
        <v>Payment at :-</v>
      </c>
      <c r="X35" s="11" t="str">
        <f>'PT ABC'!M$2</f>
        <v>Within 15 days</v>
      </c>
    </row>
    <row r="36" spans="1:24">
      <c r="A36" s="1">
        <v>1</v>
      </c>
      <c r="B36" s="5" t="s">
        <v>258</v>
      </c>
      <c r="C36" s="6">
        <f>'PT ABC'!G$5</f>
        <v>7008750</v>
      </c>
      <c r="D36" s="5">
        <v>1000</v>
      </c>
      <c r="E36" s="5">
        <v>302</v>
      </c>
      <c r="F36" s="1">
        <f>'PT ABC'!M$5</f>
        <v>0</v>
      </c>
      <c r="G36" s="7" t="e">
        <f>IF(M36="","",'PT ABC'!#REF!)</f>
        <v>#REF!</v>
      </c>
      <c r="H36" s="8" t="s">
        <v>259</v>
      </c>
      <c r="I36" s="1" t="e">
        <f t="shared" si="0"/>
        <v>#REF!</v>
      </c>
      <c r="J36" s="1" t="s">
        <v>260</v>
      </c>
      <c r="K36" s="10">
        <v>417772</v>
      </c>
      <c r="L36" s="11" t="str">
        <f>F36&amp;'PT ABC'!O$5</f>
        <v>0</v>
      </c>
      <c r="M36" s="12" t="e">
        <f>IF(100000000-'PT ABC'!#REF!&gt;0,'PT ABC'!#REF!,"")</f>
        <v>#REF!</v>
      </c>
      <c r="N36" s="1" t="e">
        <f>IF(M36="","",'PT ABC'!#REF!)</f>
        <v>#REF!</v>
      </c>
      <c r="O36" s="13" t="e">
        <f>IF(M36="","",'PT ABC'!#REF!)</f>
        <v>#REF!</v>
      </c>
      <c r="P36" s="14" t="s">
        <v>261</v>
      </c>
      <c r="Q36" s="1" t="e">
        <f>IF(100000000-'PT ABC'!#REF!&lt;0,'PT ABC'!#REF!,"")</f>
        <v>#REF!</v>
      </c>
      <c r="R36" s="6" t="e">
        <f>IF(Q36="","",'PT ABC'!#REF!)</f>
        <v>#REF!</v>
      </c>
      <c r="S36" s="15" t="e">
        <f>IF(Q36="","",'PT ABC'!#REF!)</f>
        <v>#REF!</v>
      </c>
      <c r="T36" s="7" t="e">
        <f>'PT ABC'!#REF!</f>
        <v>#REF!</v>
      </c>
      <c r="U36" s="11"/>
      <c r="V36" s="11" t="str">
        <f>'PT ABC'!M$5&amp;"     "&amp;'PT ABC'!M$3</f>
        <v>     </v>
      </c>
      <c r="W36" s="11" t="str">
        <f>'PT ABC'!O$2</f>
        <v>Payment at :-</v>
      </c>
      <c r="X36" s="11" t="str">
        <f>'PT ABC'!M$2</f>
        <v>Within 15 days</v>
      </c>
    </row>
    <row r="37" spans="1:24">
      <c r="A37" s="1">
        <v>1</v>
      </c>
      <c r="B37" s="5" t="s">
        <v>258</v>
      </c>
      <c r="C37" s="6">
        <f>'PT ABC'!G$5</f>
        <v>7008750</v>
      </c>
      <c r="D37" s="5">
        <v>1000</v>
      </c>
      <c r="E37" s="5">
        <v>302</v>
      </c>
      <c r="F37" s="1">
        <f>'PT ABC'!M$5</f>
        <v>0</v>
      </c>
      <c r="G37" s="7" t="e">
        <f>IF(M37="","",'PT ABC'!#REF!)</f>
        <v>#REF!</v>
      </c>
      <c r="H37" s="8" t="s">
        <v>259</v>
      </c>
      <c r="I37" s="1" t="e">
        <f t="shared" si="0"/>
        <v>#REF!</v>
      </c>
      <c r="J37" s="1" t="s">
        <v>260</v>
      </c>
      <c r="K37" s="10">
        <v>417772</v>
      </c>
      <c r="L37" s="11" t="str">
        <f>F37&amp;'PT ABC'!O$5</f>
        <v>0</v>
      </c>
      <c r="M37" s="12" t="e">
        <f>IF(100000000-'PT ABC'!#REF!&gt;0,'PT ABC'!#REF!,"")</f>
        <v>#REF!</v>
      </c>
      <c r="N37" s="1" t="e">
        <f>IF(M37="","",'PT ABC'!#REF!)</f>
        <v>#REF!</v>
      </c>
      <c r="O37" s="13" t="e">
        <f>IF(M37="","",'PT ABC'!#REF!)</f>
        <v>#REF!</v>
      </c>
      <c r="P37" s="14" t="s">
        <v>261</v>
      </c>
      <c r="Q37" s="1" t="e">
        <f>IF(100000000-'PT ABC'!#REF!&lt;0,'PT ABC'!#REF!,"")</f>
        <v>#REF!</v>
      </c>
      <c r="R37" s="6" t="e">
        <f>IF(Q37="","",'PT ABC'!#REF!)</f>
        <v>#REF!</v>
      </c>
      <c r="S37" s="15" t="e">
        <f>IF(Q37="","",'PT ABC'!#REF!)</f>
        <v>#REF!</v>
      </c>
      <c r="T37" s="7" t="e">
        <f>'PT ABC'!#REF!</f>
        <v>#REF!</v>
      </c>
      <c r="U37" s="11"/>
      <c r="V37" s="11" t="str">
        <f>'PT ABC'!M$5&amp;"     "&amp;'PT ABC'!M$3</f>
        <v>     </v>
      </c>
      <c r="W37" s="11" t="str">
        <f>'PT ABC'!O$2</f>
        <v>Payment at :-</v>
      </c>
      <c r="X37" s="11" t="str">
        <f>'PT ABC'!M$2</f>
        <v>Within 15 days</v>
      </c>
    </row>
    <row r="38" spans="1:24">
      <c r="A38" s="1">
        <v>1</v>
      </c>
      <c r="B38" s="5" t="s">
        <v>258</v>
      </c>
      <c r="C38" s="6">
        <f>'PT ABC'!G$5</f>
        <v>7008750</v>
      </c>
      <c r="D38" s="5">
        <v>1000</v>
      </c>
      <c r="E38" s="5">
        <v>302</v>
      </c>
      <c r="F38" s="1">
        <f>'PT ABC'!M$5</f>
        <v>0</v>
      </c>
      <c r="G38" s="7" t="e">
        <f>IF(M38="","",'PT ABC'!#REF!)</f>
        <v>#REF!</v>
      </c>
      <c r="H38" s="8" t="s">
        <v>259</v>
      </c>
      <c r="I38" s="1" t="e">
        <f t="shared" si="0"/>
        <v>#REF!</v>
      </c>
      <c r="J38" s="1" t="s">
        <v>260</v>
      </c>
      <c r="K38" s="10">
        <v>417772</v>
      </c>
      <c r="L38" s="11" t="str">
        <f>F38&amp;'PT ABC'!O$5</f>
        <v>0</v>
      </c>
      <c r="M38" s="12" t="e">
        <f>IF(100000000-'PT ABC'!#REF!&gt;0,'PT ABC'!#REF!,"")</f>
        <v>#REF!</v>
      </c>
      <c r="N38" s="1" t="e">
        <f>IF(M38="","",'PT ABC'!#REF!)</f>
        <v>#REF!</v>
      </c>
      <c r="O38" s="13" t="e">
        <f>IF(M38="","",'PT ABC'!#REF!)</f>
        <v>#REF!</v>
      </c>
      <c r="P38" s="14" t="s">
        <v>261</v>
      </c>
      <c r="Q38" s="1" t="e">
        <f>IF(100000000-'PT ABC'!#REF!&lt;0,'PT ABC'!#REF!,"")</f>
        <v>#REF!</v>
      </c>
      <c r="R38" s="6" t="e">
        <f>IF(Q38="","",'PT ABC'!#REF!)</f>
        <v>#REF!</v>
      </c>
      <c r="S38" s="15" t="e">
        <f>IF(Q38="","",'PT ABC'!#REF!)</f>
        <v>#REF!</v>
      </c>
      <c r="T38" s="7" t="e">
        <f>'PT ABC'!#REF!</f>
        <v>#REF!</v>
      </c>
      <c r="U38" s="11"/>
      <c r="V38" s="11" t="str">
        <f>'PT ABC'!M$5&amp;"     "&amp;'PT ABC'!M$3</f>
        <v>     </v>
      </c>
      <c r="W38" s="11" t="str">
        <f>'PT ABC'!O$2</f>
        <v>Payment at :-</v>
      </c>
      <c r="X38" s="11" t="str">
        <f>'PT ABC'!M$2</f>
        <v>Within 15 days</v>
      </c>
    </row>
    <row r="39" spans="1:24">
      <c r="A39" s="1">
        <v>1</v>
      </c>
      <c r="B39" s="5" t="s">
        <v>258</v>
      </c>
      <c r="C39" s="6">
        <f>'PT ABC'!G$5</f>
        <v>7008750</v>
      </c>
      <c r="D39" s="5">
        <v>1000</v>
      </c>
      <c r="E39" s="5">
        <v>302</v>
      </c>
      <c r="F39" s="1">
        <f>'PT ABC'!M$5</f>
        <v>0</v>
      </c>
      <c r="G39" s="7" t="e">
        <f>IF(M39="","",'PT ABC'!#REF!)</f>
        <v>#REF!</v>
      </c>
      <c r="H39" s="8" t="s">
        <v>259</v>
      </c>
      <c r="I39" s="1" t="e">
        <f t="shared" si="0"/>
        <v>#REF!</v>
      </c>
      <c r="J39" s="1" t="s">
        <v>260</v>
      </c>
      <c r="K39" s="10">
        <v>417772</v>
      </c>
      <c r="L39" s="11" t="str">
        <f>F39&amp;'PT ABC'!O$5</f>
        <v>0</v>
      </c>
      <c r="M39" s="12" t="e">
        <f>IF(100000000-'PT ABC'!#REF!&gt;0,'PT ABC'!#REF!,"")</f>
        <v>#REF!</v>
      </c>
      <c r="N39" s="1" t="e">
        <f>IF(M39="","",'PT ABC'!#REF!)</f>
        <v>#REF!</v>
      </c>
      <c r="O39" s="13" t="e">
        <f>IF(M39="","",'PT ABC'!#REF!)</f>
        <v>#REF!</v>
      </c>
      <c r="P39" s="14" t="s">
        <v>261</v>
      </c>
      <c r="Q39" s="1" t="e">
        <f>IF(100000000-'PT ABC'!#REF!&lt;0,'PT ABC'!#REF!,"")</f>
        <v>#REF!</v>
      </c>
      <c r="R39" s="6" t="e">
        <f>IF(Q39="","",'PT ABC'!#REF!)</f>
        <v>#REF!</v>
      </c>
      <c r="S39" s="15" t="e">
        <f>IF(Q39="","",'PT ABC'!#REF!)</f>
        <v>#REF!</v>
      </c>
      <c r="T39" s="7" t="e">
        <f>'PT ABC'!#REF!</f>
        <v>#REF!</v>
      </c>
      <c r="U39" s="11"/>
      <c r="V39" s="11" t="str">
        <f>'PT ABC'!M$5&amp;"     "&amp;'PT ABC'!M$3</f>
        <v>     </v>
      </c>
      <c r="W39" s="11" t="str">
        <f>'PT ABC'!O$2</f>
        <v>Payment at :-</v>
      </c>
      <c r="X39" s="11" t="str">
        <f>'PT ABC'!M$2</f>
        <v>Within 15 days</v>
      </c>
    </row>
    <row r="40" spans="1:24">
      <c r="A40" s="1">
        <v>1</v>
      </c>
      <c r="B40" s="5" t="s">
        <v>258</v>
      </c>
      <c r="C40" s="6">
        <f>'PT ABC'!G$5</f>
        <v>7008750</v>
      </c>
      <c r="D40" s="5">
        <v>1000</v>
      </c>
      <c r="E40" s="5">
        <v>302</v>
      </c>
      <c r="F40" s="1">
        <f>'PT ABC'!M$5</f>
        <v>0</v>
      </c>
      <c r="G40" s="7" t="e">
        <f>IF(M40="","",'PT ABC'!#REF!)</f>
        <v>#REF!</v>
      </c>
      <c r="H40" s="8" t="s">
        <v>259</v>
      </c>
      <c r="I40" s="1" t="e">
        <f t="shared" si="0"/>
        <v>#REF!</v>
      </c>
      <c r="J40" s="1" t="s">
        <v>260</v>
      </c>
      <c r="K40" s="10">
        <v>417772</v>
      </c>
      <c r="L40" s="11" t="str">
        <f>F40&amp;'PT ABC'!O$5</f>
        <v>0</v>
      </c>
      <c r="M40" s="12" t="e">
        <f>IF(100000000-'PT ABC'!#REF!&gt;0,'PT ABC'!#REF!,"")</f>
        <v>#REF!</v>
      </c>
      <c r="N40" s="1" t="e">
        <f>IF(M40="","",'PT ABC'!#REF!)</f>
        <v>#REF!</v>
      </c>
      <c r="O40" s="13" t="e">
        <f>IF(M40="","",'PT ABC'!#REF!)</f>
        <v>#REF!</v>
      </c>
      <c r="P40" s="14" t="s">
        <v>261</v>
      </c>
      <c r="Q40" s="1" t="e">
        <f>IF(100000000-'PT ABC'!#REF!&lt;0,'PT ABC'!#REF!,"")</f>
        <v>#REF!</v>
      </c>
      <c r="R40" s="6" t="e">
        <f>IF(Q40="","",'PT ABC'!#REF!)</f>
        <v>#REF!</v>
      </c>
      <c r="S40" s="15" t="e">
        <f>IF(Q40="","",'PT ABC'!#REF!)</f>
        <v>#REF!</v>
      </c>
      <c r="T40" s="7" t="e">
        <f>'PT ABC'!#REF!</f>
        <v>#REF!</v>
      </c>
      <c r="U40" s="11"/>
      <c r="V40" s="11" t="str">
        <f>'PT ABC'!M$5&amp;"     "&amp;'PT ABC'!M$3</f>
        <v>     </v>
      </c>
      <c r="W40" s="11" t="str">
        <f>'PT ABC'!O$2</f>
        <v>Payment at :-</v>
      </c>
      <c r="X40" s="11" t="str">
        <f>'PT ABC'!M$2</f>
        <v>Within 15 days</v>
      </c>
    </row>
    <row r="41" spans="1:24">
      <c r="A41" s="1">
        <v>1</v>
      </c>
      <c r="B41" s="5" t="s">
        <v>258</v>
      </c>
      <c r="C41" s="6">
        <f>'PT ABC'!G$5</f>
        <v>7008750</v>
      </c>
      <c r="D41" s="5">
        <v>1000</v>
      </c>
      <c r="E41" s="5">
        <v>302</v>
      </c>
      <c r="F41" s="1">
        <f>'PT ABC'!M$5</f>
        <v>0</v>
      </c>
      <c r="G41" s="7" t="e">
        <f>IF(M41="","",'PT ABC'!#REF!)</f>
        <v>#REF!</v>
      </c>
      <c r="H41" s="8" t="s">
        <v>259</v>
      </c>
      <c r="I41" s="1" t="e">
        <f t="shared" si="0"/>
        <v>#REF!</v>
      </c>
      <c r="J41" s="1" t="s">
        <v>260</v>
      </c>
      <c r="K41" s="10">
        <v>417772</v>
      </c>
      <c r="L41" s="11" t="str">
        <f>F41&amp;'PT ABC'!O$5</f>
        <v>0</v>
      </c>
      <c r="M41" s="12" t="e">
        <f>IF(100000000-'PT ABC'!#REF!&gt;0,'PT ABC'!#REF!,"")</f>
        <v>#REF!</v>
      </c>
      <c r="N41" s="1" t="e">
        <f>IF(M41="","",'PT ABC'!#REF!)</f>
        <v>#REF!</v>
      </c>
      <c r="O41" s="13" t="e">
        <f>IF(M41="","",'PT ABC'!#REF!)</f>
        <v>#REF!</v>
      </c>
      <c r="P41" s="14" t="s">
        <v>261</v>
      </c>
      <c r="Q41" s="1" t="e">
        <f>IF(100000000-'PT ABC'!#REF!&lt;0,'PT ABC'!#REF!,"")</f>
        <v>#REF!</v>
      </c>
      <c r="R41" s="6" t="e">
        <f>IF(Q41="","",'PT ABC'!#REF!)</f>
        <v>#REF!</v>
      </c>
      <c r="S41" s="15" t="e">
        <f>IF(Q41="","",'PT ABC'!#REF!)</f>
        <v>#REF!</v>
      </c>
      <c r="T41" s="7" t="e">
        <f>'PT ABC'!#REF!</f>
        <v>#REF!</v>
      </c>
      <c r="U41" s="11"/>
      <c r="V41" s="11" t="str">
        <f>'PT ABC'!M$5&amp;"     "&amp;'PT ABC'!M$3</f>
        <v>     </v>
      </c>
      <c r="W41" s="11" t="str">
        <f>'PT ABC'!O$2</f>
        <v>Payment at :-</v>
      </c>
      <c r="X41" s="11" t="str">
        <f>'PT ABC'!M$2</f>
        <v>Within 15 days</v>
      </c>
    </row>
    <row r="42" spans="1:24">
      <c r="A42" s="1">
        <v>1</v>
      </c>
      <c r="B42" s="5" t="s">
        <v>258</v>
      </c>
      <c r="C42" s="6">
        <f>'PT ABC'!G$5</f>
        <v>7008750</v>
      </c>
      <c r="D42" s="5">
        <v>1000</v>
      </c>
      <c r="E42" s="5">
        <v>302</v>
      </c>
      <c r="F42" s="1">
        <f>'PT ABC'!M$5</f>
        <v>0</v>
      </c>
      <c r="G42" s="7" t="e">
        <f>IF(M42="","",'PT ABC'!#REF!)</f>
        <v>#REF!</v>
      </c>
      <c r="H42" s="8" t="s">
        <v>259</v>
      </c>
      <c r="I42" s="1" t="e">
        <f t="shared" si="0"/>
        <v>#REF!</v>
      </c>
      <c r="J42" s="1" t="s">
        <v>260</v>
      </c>
      <c r="K42" s="10">
        <v>417772</v>
      </c>
      <c r="L42" s="11" t="str">
        <f>F42&amp;'PT ABC'!O$5</f>
        <v>0</v>
      </c>
      <c r="M42" s="12" t="e">
        <f>IF(100000000-'PT ABC'!#REF!&gt;0,'PT ABC'!#REF!,"")</f>
        <v>#REF!</v>
      </c>
      <c r="N42" s="1" t="e">
        <f>IF(M42="","",'PT ABC'!#REF!)</f>
        <v>#REF!</v>
      </c>
      <c r="O42" s="13" t="e">
        <f>IF(M42="","",'PT ABC'!#REF!)</f>
        <v>#REF!</v>
      </c>
      <c r="P42" s="14" t="s">
        <v>261</v>
      </c>
      <c r="Q42" s="1" t="e">
        <f>IF(100000000-'PT ABC'!#REF!&lt;0,'PT ABC'!#REF!,"")</f>
        <v>#REF!</v>
      </c>
      <c r="R42" s="6" t="e">
        <f>IF(Q42="","",'PT ABC'!#REF!)</f>
        <v>#REF!</v>
      </c>
      <c r="S42" s="15" t="e">
        <f>IF(Q42="","",'PT ABC'!#REF!)</f>
        <v>#REF!</v>
      </c>
      <c r="T42" s="7" t="e">
        <f>'PT ABC'!#REF!</f>
        <v>#REF!</v>
      </c>
      <c r="U42" s="11"/>
      <c r="V42" s="11" t="str">
        <f>'PT ABC'!M$5&amp;"     "&amp;'PT ABC'!M$3</f>
        <v>     </v>
      </c>
      <c r="W42" s="11" t="str">
        <f>'PT ABC'!O$2</f>
        <v>Payment at :-</v>
      </c>
      <c r="X42" s="11" t="str">
        <f>'PT ABC'!M$2</f>
        <v>Within 15 days</v>
      </c>
    </row>
    <row r="43" spans="1:24">
      <c r="A43" s="1">
        <v>1</v>
      </c>
      <c r="B43" s="5" t="s">
        <v>258</v>
      </c>
      <c r="C43" s="6">
        <f>'PT ABC'!G$5</f>
        <v>7008750</v>
      </c>
      <c r="D43" s="5">
        <v>1000</v>
      </c>
      <c r="E43" s="5">
        <v>302</v>
      </c>
      <c r="F43" s="1">
        <f>'PT ABC'!M$5</f>
        <v>0</v>
      </c>
      <c r="G43" s="7" t="e">
        <f>IF(M43="","",'PT ABC'!#REF!)</f>
        <v>#REF!</v>
      </c>
      <c r="H43" s="8" t="s">
        <v>259</v>
      </c>
      <c r="I43" s="1" t="e">
        <f t="shared" si="0"/>
        <v>#REF!</v>
      </c>
      <c r="J43" s="1" t="s">
        <v>260</v>
      </c>
      <c r="K43" s="10">
        <v>417772</v>
      </c>
      <c r="L43" s="11" t="str">
        <f>F43&amp;'PT ABC'!O$5</f>
        <v>0</v>
      </c>
      <c r="M43" s="12" t="e">
        <f>IF(100000000-'PT ABC'!#REF!&gt;0,'PT ABC'!#REF!,"")</f>
        <v>#REF!</v>
      </c>
      <c r="N43" s="1" t="e">
        <f>IF(M43="","",'PT ABC'!#REF!)</f>
        <v>#REF!</v>
      </c>
      <c r="O43" s="13" t="e">
        <f>IF(M43="","",'PT ABC'!#REF!)</f>
        <v>#REF!</v>
      </c>
      <c r="P43" s="14" t="s">
        <v>261</v>
      </c>
      <c r="Q43" s="1" t="e">
        <f>IF(100000000-'PT ABC'!#REF!&lt;0,'PT ABC'!#REF!,"")</f>
        <v>#REF!</v>
      </c>
      <c r="R43" s="6" t="e">
        <f>IF(Q43="","",'PT ABC'!#REF!)</f>
        <v>#REF!</v>
      </c>
      <c r="S43" s="15" t="e">
        <f>IF(Q43="","",'PT ABC'!#REF!)</f>
        <v>#REF!</v>
      </c>
      <c r="T43" s="7" t="e">
        <f>'PT ABC'!#REF!</f>
        <v>#REF!</v>
      </c>
      <c r="U43" s="11"/>
      <c r="V43" s="11" t="str">
        <f>'PT ABC'!M$5&amp;"     "&amp;'PT ABC'!M$3</f>
        <v>     </v>
      </c>
      <c r="W43" s="11" t="str">
        <f>'PT ABC'!O$2</f>
        <v>Payment at :-</v>
      </c>
      <c r="X43" s="11" t="str">
        <f>'PT ABC'!M$2</f>
        <v>Within 15 days</v>
      </c>
    </row>
    <row r="44" spans="1:24">
      <c r="A44" s="1">
        <v>1</v>
      </c>
      <c r="B44" s="5" t="s">
        <v>258</v>
      </c>
      <c r="C44" s="6">
        <f>'PT ABC'!G$5</f>
        <v>7008750</v>
      </c>
      <c r="D44" s="5">
        <v>1000</v>
      </c>
      <c r="E44" s="5">
        <v>302</v>
      </c>
      <c r="F44" s="1">
        <f>'PT ABC'!M$5</f>
        <v>0</v>
      </c>
      <c r="G44" s="7" t="e">
        <f>IF(M44="","",'PT ABC'!#REF!)</f>
        <v>#REF!</v>
      </c>
      <c r="H44" s="8" t="s">
        <v>259</v>
      </c>
      <c r="I44" s="1" t="e">
        <f t="shared" si="0"/>
        <v>#REF!</v>
      </c>
      <c r="J44" s="1" t="s">
        <v>260</v>
      </c>
      <c r="K44" s="10">
        <v>417772</v>
      </c>
      <c r="L44" s="11" t="str">
        <f>F44&amp;'PT ABC'!O$5</f>
        <v>0</v>
      </c>
      <c r="M44" s="12" t="e">
        <f>IF(100000000-'PT ABC'!#REF!&gt;0,'PT ABC'!#REF!,"")</f>
        <v>#REF!</v>
      </c>
      <c r="N44" s="1" t="e">
        <f>IF(M44="","",'PT ABC'!#REF!)</f>
        <v>#REF!</v>
      </c>
      <c r="O44" s="13" t="e">
        <f>IF(M44="","",'PT ABC'!#REF!)</f>
        <v>#REF!</v>
      </c>
      <c r="P44" s="14" t="s">
        <v>261</v>
      </c>
      <c r="Q44" s="1" t="e">
        <f>IF(100000000-'PT ABC'!#REF!&lt;0,'PT ABC'!#REF!,"")</f>
        <v>#REF!</v>
      </c>
      <c r="R44" s="6" t="e">
        <f>IF(Q44="","",'PT ABC'!#REF!)</f>
        <v>#REF!</v>
      </c>
      <c r="S44" s="15" t="e">
        <f>IF(Q44="","",'PT ABC'!#REF!)</f>
        <v>#REF!</v>
      </c>
      <c r="T44" s="7" t="e">
        <f>'PT ABC'!#REF!</f>
        <v>#REF!</v>
      </c>
      <c r="U44" s="11"/>
      <c r="V44" s="11" t="str">
        <f>'PT ABC'!M$5&amp;"     "&amp;'PT ABC'!M$3</f>
        <v>     </v>
      </c>
      <c r="W44" s="11" t="str">
        <f>'PT ABC'!O$2</f>
        <v>Payment at :-</v>
      </c>
      <c r="X44" s="11" t="str">
        <f>'PT ABC'!M$2</f>
        <v>Within 15 days</v>
      </c>
    </row>
    <row r="45" spans="1:24">
      <c r="A45" s="1">
        <v>1</v>
      </c>
      <c r="B45" s="5" t="s">
        <v>258</v>
      </c>
      <c r="C45" s="6">
        <f>'PT ABC'!G$5</f>
        <v>7008750</v>
      </c>
      <c r="D45" s="5">
        <v>1000</v>
      </c>
      <c r="E45" s="5">
        <v>302</v>
      </c>
      <c r="F45" s="1">
        <f>'PT ABC'!M$5</f>
        <v>0</v>
      </c>
      <c r="G45" s="7" t="e">
        <f>IF(M45="","",'PT ABC'!#REF!)</f>
        <v>#REF!</v>
      </c>
      <c r="H45" s="8" t="s">
        <v>259</v>
      </c>
      <c r="I45" s="1" t="e">
        <f t="shared" si="0"/>
        <v>#REF!</v>
      </c>
      <c r="J45" s="1" t="s">
        <v>260</v>
      </c>
      <c r="K45" s="10">
        <v>417772</v>
      </c>
      <c r="L45" s="11" t="str">
        <f>F45&amp;'PT ABC'!O$5</f>
        <v>0</v>
      </c>
      <c r="M45" s="12" t="e">
        <f>IF(100000000-'PT ABC'!#REF!&gt;0,'PT ABC'!#REF!,"")</f>
        <v>#REF!</v>
      </c>
      <c r="N45" s="1" t="e">
        <f>IF(M45="","",'PT ABC'!#REF!)</f>
        <v>#REF!</v>
      </c>
      <c r="O45" s="13" t="e">
        <f>IF(M45="","",'PT ABC'!#REF!)</f>
        <v>#REF!</v>
      </c>
      <c r="P45" s="14" t="s">
        <v>261</v>
      </c>
      <c r="Q45" s="1" t="e">
        <f>IF(100000000-'PT ABC'!#REF!&lt;0,'PT ABC'!#REF!,"")</f>
        <v>#REF!</v>
      </c>
      <c r="R45" s="6" t="e">
        <f>IF(Q45="","",'PT ABC'!#REF!)</f>
        <v>#REF!</v>
      </c>
      <c r="S45" s="15" t="e">
        <f>IF(Q45="","",'PT ABC'!#REF!)</f>
        <v>#REF!</v>
      </c>
      <c r="T45" s="7" t="e">
        <f>'PT ABC'!#REF!</f>
        <v>#REF!</v>
      </c>
      <c r="U45" s="11"/>
      <c r="V45" s="11" t="str">
        <f>'PT ABC'!M$5&amp;"     "&amp;'PT ABC'!M$3</f>
        <v>     </v>
      </c>
      <c r="W45" s="11" t="str">
        <f>'PT ABC'!O$2</f>
        <v>Payment at :-</v>
      </c>
      <c r="X45" s="11" t="str">
        <f>'PT ABC'!M$2</f>
        <v>Within 15 days</v>
      </c>
    </row>
    <row r="46" spans="1:24">
      <c r="A46" s="1">
        <v>1</v>
      </c>
      <c r="B46" s="5" t="s">
        <v>258</v>
      </c>
      <c r="C46" s="6">
        <f>'PT ABC'!G$5</f>
        <v>7008750</v>
      </c>
      <c r="D46" s="5">
        <v>1000</v>
      </c>
      <c r="E46" s="5">
        <v>302</v>
      </c>
      <c r="F46" s="1">
        <f>'PT ABC'!M$5</f>
        <v>0</v>
      </c>
      <c r="G46" s="7" t="e">
        <f>IF(M46="","",'PT ABC'!#REF!)</f>
        <v>#REF!</v>
      </c>
      <c r="H46" s="8" t="s">
        <v>259</v>
      </c>
      <c r="I46" s="1" t="e">
        <f t="shared" si="0"/>
        <v>#REF!</v>
      </c>
      <c r="J46" s="1" t="s">
        <v>260</v>
      </c>
      <c r="K46" s="10">
        <v>417772</v>
      </c>
      <c r="L46" s="11" t="str">
        <f>F46&amp;'PT ABC'!O$5</f>
        <v>0</v>
      </c>
      <c r="M46" s="12" t="e">
        <f>IF(100000000-'PT ABC'!#REF!&gt;0,'PT ABC'!#REF!,"")</f>
        <v>#REF!</v>
      </c>
      <c r="N46" s="1" t="e">
        <f>IF(M46="","",'PT ABC'!#REF!)</f>
        <v>#REF!</v>
      </c>
      <c r="O46" s="13" t="e">
        <f>IF(M46="","",'PT ABC'!#REF!)</f>
        <v>#REF!</v>
      </c>
      <c r="P46" s="14" t="s">
        <v>261</v>
      </c>
      <c r="Q46" s="1" t="e">
        <f>IF(100000000-'PT ABC'!#REF!&lt;0,'PT ABC'!#REF!,"")</f>
        <v>#REF!</v>
      </c>
      <c r="R46" s="6" t="e">
        <f>IF(Q46="","",'PT ABC'!#REF!)</f>
        <v>#REF!</v>
      </c>
      <c r="S46" s="15" t="e">
        <f>IF(Q46="","",'PT ABC'!#REF!)</f>
        <v>#REF!</v>
      </c>
      <c r="T46" s="7" t="e">
        <f>'PT ABC'!#REF!</f>
        <v>#REF!</v>
      </c>
      <c r="U46" s="11"/>
      <c r="V46" s="11" t="str">
        <f>'PT ABC'!M$5&amp;"     "&amp;'PT ABC'!M$3</f>
        <v>     </v>
      </c>
      <c r="W46" s="11" t="str">
        <f>'PT ABC'!O$2</f>
        <v>Payment at :-</v>
      </c>
      <c r="X46" s="11" t="str">
        <f>'PT ABC'!M$2</f>
        <v>Within 15 days</v>
      </c>
    </row>
    <row r="47" spans="1:24">
      <c r="A47" s="1">
        <v>1</v>
      </c>
      <c r="B47" s="5" t="s">
        <v>258</v>
      </c>
      <c r="C47" s="6">
        <f>'PT ABC'!G$5</f>
        <v>7008750</v>
      </c>
      <c r="D47" s="5">
        <v>1000</v>
      </c>
      <c r="E47" s="5">
        <v>302</v>
      </c>
      <c r="F47" s="1">
        <f>'PT ABC'!M$5</f>
        <v>0</v>
      </c>
      <c r="G47" s="7" t="e">
        <f>IF(M47="","",'PT ABC'!#REF!)</f>
        <v>#REF!</v>
      </c>
      <c r="H47" s="8" t="s">
        <v>259</v>
      </c>
      <c r="I47" s="1" t="e">
        <f t="shared" si="0"/>
        <v>#REF!</v>
      </c>
      <c r="J47" s="1" t="s">
        <v>260</v>
      </c>
      <c r="K47" s="10">
        <v>417772</v>
      </c>
      <c r="L47" s="11" t="str">
        <f>F47&amp;'PT ABC'!O$5</f>
        <v>0</v>
      </c>
      <c r="M47" s="12" t="e">
        <f>IF(100000000-'PT ABC'!#REF!&gt;0,'PT ABC'!#REF!,"")</f>
        <v>#REF!</v>
      </c>
      <c r="N47" s="1" t="e">
        <f>IF(M47="","",'PT ABC'!#REF!)</f>
        <v>#REF!</v>
      </c>
      <c r="O47" s="13" t="e">
        <f>IF(M47="","",'PT ABC'!#REF!)</f>
        <v>#REF!</v>
      </c>
      <c r="P47" s="14" t="s">
        <v>261</v>
      </c>
      <c r="Q47" s="1" t="e">
        <f>IF(100000000-'PT ABC'!#REF!&lt;0,'PT ABC'!#REF!,"")</f>
        <v>#REF!</v>
      </c>
      <c r="R47" s="6" t="e">
        <f>IF(Q47="","",'PT ABC'!#REF!)</f>
        <v>#REF!</v>
      </c>
      <c r="S47" s="15" t="e">
        <f>IF(Q47="","",'PT ABC'!#REF!)</f>
        <v>#REF!</v>
      </c>
      <c r="T47" s="7" t="e">
        <f>'PT ABC'!#REF!</f>
        <v>#REF!</v>
      </c>
      <c r="U47" s="11"/>
      <c r="V47" s="11" t="str">
        <f>'PT ABC'!M$5&amp;"     "&amp;'PT ABC'!M$3</f>
        <v>     </v>
      </c>
      <c r="W47" s="11" t="str">
        <f>'PT ABC'!O$2</f>
        <v>Payment at :-</v>
      </c>
      <c r="X47" s="11" t="str">
        <f>'PT ABC'!M$2</f>
        <v>Within 15 days</v>
      </c>
    </row>
    <row r="48" spans="1:24">
      <c r="A48" s="1">
        <v>1</v>
      </c>
      <c r="B48" s="5" t="s">
        <v>258</v>
      </c>
      <c r="C48" s="6">
        <f>'PT ABC'!G$5</f>
        <v>7008750</v>
      </c>
      <c r="D48" s="5">
        <v>1000</v>
      </c>
      <c r="E48" s="5">
        <v>302</v>
      </c>
      <c r="F48" s="1">
        <f>'PT ABC'!M$5</f>
        <v>0</v>
      </c>
      <c r="G48" s="7" t="e">
        <f>IF(M48="","",'PT ABC'!#REF!)</f>
        <v>#REF!</v>
      </c>
      <c r="H48" s="8" t="s">
        <v>259</v>
      </c>
      <c r="I48" s="1" t="e">
        <f t="shared" si="0"/>
        <v>#REF!</v>
      </c>
      <c r="J48" s="1" t="s">
        <v>260</v>
      </c>
      <c r="K48" s="10">
        <v>417772</v>
      </c>
      <c r="L48" s="11" t="str">
        <f>F48&amp;'PT ABC'!O$5</f>
        <v>0</v>
      </c>
      <c r="M48" s="12" t="e">
        <f>IF(100000000-'PT ABC'!#REF!&gt;0,'PT ABC'!#REF!,"")</f>
        <v>#REF!</v>
      </c>
      <c r="N48" s="1" t="e">
        <f>IF(M48="","",'PT ABC'!#REF!)</f>
        <v>#REF!</v>
      </c>
      <c r="O48" s="13" t="e">
        <f>IF(M48="","",'PT ABC'!#REF!)</f>
        <v>#REF!</v>
      </c>
      <c r="P48" s="14" t="s">
        <v>261</v>
      </c>
      <c r="Q48" s="1" t="e">
        <f>IF(100000000-'PT ABC'!#REF!&lt;0,'PT ABC'!#REF!,"")</f>
        <v>#REF!</v>
      </c>
      <c r="R48" s="6" t="e">
        <f>IF(Q48="","",'PT ABC'!#REF!)</f>
        <v>#REF!</v>
      </c>
      <c r="S48" s="15" t="e">
        <f>IF(Q48="","",'PT ABC'!#REF!)</f>
        <v>#REF!</v>
      </c>
      <c r="T48" s="7" t="e">
        <f>'PT ABC'!#REF!</f>
        <v>#REF!</v>
      </c>
      <c r="U48" s="11"/>
      <c r="V48" s="11" t="str">
        <f>'PT ABC'!M$5&amp;"     "&amp;'PT ABC'!M$3</f>
        <v>     </v>
      </c>
      <c r="W48" s="11" t="str">
        <f>'PT ABC'!O$2</f>
        <v>Payment at :-</v>
      </c>
      <c r="X48" s="11" t="str">
        <f>'PT ABC'!M$2</f>
        <v>Within 15 days</v>
      </c>
    </row>
    <row r="49" spans="1:24">
      <c r="A49" s="1">
        <v>1</v>
      </c>
      <c r="B49" s="5" t="s">
        <v>258</v>
      </c>
      <c r="C49" s="6">
        <f>'PT ABC'!G$5</f>
        <v>7008750</v>
      </c>
      <c r="D49" s="5">
        <v>1000</v>
      </c>
      <c r="E49" s="5">
        <v>302</v>
      </c>
      <c r="F49" s="1">
        <f>'PT ABC'!M$5</f>
        <v>0</v>
      </c>
      <c r="G49" s="7" t="e">
        <f>IF(M49="","",'PT ABC'!#REF!)</f>
        <v>#REF!</v>
      </c>
      <c r="H49" s="8" t="s">
        <v>259</v>
      </c>
      <c r="I49" s="1" t="e">
        <f t="shared" si="0"/>
        <v>#REF!</v>
      </c>
      <c r="J49" s="1" t="s">
        <v>260</v>
      </c>
      <c r="K49" s="10">
        <v>417772</v>
      </c>
      <c r="L49" s="11" t="str">
        <f>F49&amp;'PT ABC'!O$5</f>
        <v>0</v>
      </c>
      <c r="M49" s="12" t="e">
        <f>IF(100000000-'PT ABC'!#REF!&gt;0,'PT ABC'!#REF!,"")</f>
        <v>#REF!</v>
      </c>
      <c r="N49" s="1" t="e">
        <f>IF(M49="","",'PT ABC'!#REF!)</f>
        <v>#REF!</v>
      </c>
      <c r="O49" s="13" t="e">
        <f>IF(M49="","",'PT ABC'!#REF!)</f>
        <v>#REF!</v>
      </c>
      <c r="P49" s="14" t="s">
        <v>261</v>
      </c>
      <c r="Q49" s="1" t="e">
        <f>IF(100000000-'PT ABC'!#REF!&lt;0,'PT ABC'!#REF!,"")</f>
        <v>#REF!</v>
      </c>
      <c r="R49" s="6" t="e">
        <f>IF(Q49="","",'PT ABC'!#REF!)</f>
        <v>#REF!</v>
      </c>
      <c r="S49" s="15" t="e">
        <f>IF(Q49="","",'PT ABC'!#REF!)</f>
        <v>#REF!</v>
      </c>
      <c r="T49" s="7" t="e">
        <f>'PT ABC'!#REF!</f>
        <v>#REF!</v>
      </c>
      <c r="U49" s="11"/>
      <c r="V49" s="11" t="str">
        <f>'PT ABC'!M$5&amp;"     "&amp;'PT ABC'!M$3</f>
        <v>     </v>
      </c>
      <c r="W49" s="11" t="str">
        <f>'PT ABC'!O$2</f>
        <v>Payment at :-</v>
      </c>
      <c r="X49" s="11" t="str">
        <f>'PT ABC'!M$2</f>
        <v>Within 15 days</v>
      </c>
    </row>
    <row r="50" spans="1:24">
      <c r="A50" s="1">
        <v>1</v>
      </c>
      <c r="B50" s="5" t="s">
        <v>258</v>
      </c>
      <c r="C50" s="6">
        <f>'PT ABC'!G$5</f>
        <v>7008750</v>
      </c>
      <c r="D50" s="5">
        <v>1000</v>
      </c>
      <c r="E50" s="5">
        <v>302</v>
      </c>
      <c r="F50" s="1">
        <f>'PT ABC'!M$5</f>
        <v>0</v>
      </c>
      <c r="G50" s="7" t="e">
        <f>IF(M50="","",'PT ABC'!#REF!)</f>
        <v>#REF!</v>
      </c>
      <c r="H50" s="8" t="s">
        <v>259</v>
      </c>
      <c r="I50" s="1" t="e">
        <f t="shared" si="0"/>
        <v>#REF!</v>
      </c>
      <c r="J50" s="1" t="s">
        <v>260</v>
      </c>
      <c r="K50" s="10">
        <v>417772</v>
      </c>
      <c r="L50" s="11" t="str">
        <f>F50&amp;'PT ABC'!O$5</f>
        <v>0</v>
      </c>
      <c r="M50" s="12" t="e">
        <f>IF(100000000-'PT ABC'!#REF!&gt;0,'PT ABC'!#REF!,"")</f>
        <v>#REF!</v>
      </c>
      <c r="N50" s="1" t="e">
        <f>IF(M50="","",'PT ABC'!#REF!)</f>
        <v>#REF!</v>
      </c>
      <c r="O50" s="13" t="e">
        <f>IF(M50="","",'PT ABC'!#REF!)</f>
        <v>#REF!</v>
      </c>
      <c r="P50" s="14" t="s">
        <v>261</v>
      </c>
      <c r="Q50" s="1" t="e">
        <f>IF(100000000-'PT ABC'!#REF!&lt;0,'PT ABC'!#REF!,"")</f>
        <v>#REF!</v>
      </c>
      <c r="R50" s="6" t="e">
        <f>IF(Q50="","",'PT ABC'!#REF!)</f>
        <v>#REF!</v>
      </c>
      <c r="S50" s="15" t="e">
        <f>IF(Q50="","",'PT ABC'!#REF!)</f>
        <v>#REF!</v>
      </c>
      <c r="T50" s="7" t="e">
        <f>'PT ABC'!#REF!</f>
        <v>#REF!</v>
      </c>
      <c r="U50" s="11"/>
      <c r="V50" s="11" t="str">
        <f>'PT ABC'!M$5&amp;"     "&amp;'PT ABC'!M$3</f>
        <v>     </v>
      </c>
      <c r="W50" s="11" t="str">
        <f>'PT ABC'!O$2</f>
        <v>Payment at :-</v>
      </c>
      <c r="X50" s="11" t="str">
        <f>'PT ABC'!M$2</f>
        <v>Within 15 days</v>
      </c>
    </row>
    <row r="51" spans="1:24">
      <c r="A51" s="1">
        <v>1</v>
      </c>
      <c r="B51" s="5" t="s">
        <v>258</v>
      </c>
      <c r="C51" s="6">
        <f>'PT ABC'!G$5</f>
        <v>7008750</v>
      </c>
      <c r="D51" s="5">
        <v>1000</v>
      </c>
      <c r="E51" s="5">
        <v>302</v>
      </c>
      <c r="F51" s="1">
        <f>'PT ABC'!M$5</f>
        <v>0</v>
      </c>
      <c r="G51" s="7" t="e">
        <f>IF(M51="","",'PT ABC'!#REF!)</f>
        <v>#REF!</v>
      </c>
      <c r="H51" s="8" t="s">
        <v>259</v>
      </c>
      <c r="I51" s="1" t="e">
        <f t="shared" si="0"/>
        <v>#REF!</v>
      </c>
      <c r="J51" s="1" t="s">
        <v>260</v>
      </c>
      <c r="K51" s="10">
        <v>417772</v>
      </c>
      <c r="L51" s="11" t="str">
        <f>F51&amp;'PT ABC'!O$5</f>
        <v>0</v>
      </c>
      <c r="M51" s="12" t="e">
        <f>IF(100000000-'PT ABC'!#REF!&gt;0,'PT ABC'!#REF!,"")</f>
        <v>#REF!</v>
      </c>
      <c r="N51" s="1" t="e">
        <f>IF(M51="","",'PT ABC'!#REF!)</f>
        <v>#REF!</v>
      </c>
      <c r="O51" s="13" t="e">
        <f>IF(M51="","",'PT ABC'!#REF!)</f>
        <v>#REF!</v>
      </c>
      <c r="P51" s="14" t="s">
        <v>261</v>
      </c>
      <c r="Q51" s="1" t="e">
        <f>IF(100000000-'PT ABC'!#REF!&lt;0,'PT ABC'!#REF!,"")</f>
        <v>#REF!</v>
      </c>
      <c r="R51" s="6" t="e">
        <f>IF(Q51="","",'PT ABC'!#REF!)</f>
        <v>#REF!</v>
      </c>
      <c r="S51" s="15" t="e">
        <f>IF(Q51="","",'PT ABC'!#REF!)</f>
        <v>#REF!</v>
      </c>
      <c r="T51" s="7" t="e">
        <f>'PT ABC'!#REF!</f>
        <v>#REF!</v>
      </c>
      <c r="U51" s="11"/>
      <c r="V51" s="11" t="str">
        <f>'PT ABC'!M$5&amp;"     "&amp;'PT ABC'!M$3</f>
        <v>     </v>
      </c>
      <c r="W51" s="11" t="str">
        <f>'PT ABC'!O$2</f>
        <v>Payment at :-</v>
      </c>
      <c r="X51" s="11" t="str">
        <f>'PT ABC'!M$2</f>
        <v>Within 15 days</v>
      </c>
    </row>
    <row r="52" spans="1:24">
      <c r="A52" s="1">
        <v>1</v>
      </c>
      <c r="B52" s="5" t="s">
        <v>258</v>
      </c>
      <c r="C52" s="6">
        <f>'PT ABC'!G$5</f>
        <v>7008750</v>
      </c>
      <c r="D52" s="5">
        <v>1000</v>
      </c>
      <c r="E52" s="5">
        <v>302</v>
      </c>
      <c r="F52" s="1">
        <f>'PT ABC'!M$5</f>
        <v>0</v>
      </c>
      <c r="G52" s="7" t="e">
        <f>IF(M52="","",'PT ABC'!#REF!)</f>
        <v>#REF!</v>
      </c>
      <c r="H52" s="8" t="s">
        <v>259</v>
      </c>
      <c r="I52" s="1" t="e">
        <f t="shared" si="0"/>
        <v>#REF!</v>
      </c>
      <c r="J52" s="1" t="s">
        <v>260</v>
      </c>
      <c r="K52" s="10">
        <v>417772</v>
      </c>
      <c r="L52" s="11" t="str">
        <f>F52&amp;'PT ABC'!O$5</f>
        <v>0</v>
      </c>
      <c r="M52" s="12" t="e">
        <f>IF(100000000-'PT ABC'!#REF!&gt;0,'PT ABC'!#REF!,"")</f>
        <v>#REF!</v>
      </c>
      <c r="N52" s="1" t="e">
        <f>IF(M52="","",'PT ABC'!#REF!)</f>
        <v>#REF!</v>
      </c>
      <c r="O52" s="13" t="e">
        <f>IF(M52="","",'PT ABC'!#REF!)</f>
        <v>#REF!</v>
      </c>
      <c r="P52" s="14" t="s">
        <v>261</v>
      </c>
      <c r="Q52" s="1" t="e">
        <f>IF(100000000-'PT ABC'!#REF!&lt;0,'PT ABC'!#REF!,"")</f>
        <v>#REF!</v>
      </c>
      <c r="R52" s="6" t="e">
        <f>IF(Q52="","",'PT ABC'!#REF!)</f>
        <v>#REF!</v>
      </c>
      <c r="S52" s="15" t="e">
        <f>IF(Q52="","",'PT ABC'!#REF!)</f>
        <v>#REF!</v>
      </c>
      <c r="T52" s="7" t="e">
        <f>'PT ABC'!#REF!</f>
        <v>#REF!</v>
      </c>
      <c r="U52" s="11"/>
      <c r="V52" s="11" t="str">
        <f>'PT ABC'!M$5&amp;"     "&amp;'PT ABC'!M$3</f>
        <v>     </v>
      </c>
      <c r="W52" s="11" t="str">
        <f>'PT ABC'!O$2</f>
        <v>Payment at :-</v>
      </c>
      <c r="X52" s="11" t="str">
        <f>'PT ABC'!M$2</f>
        <v>Within 15 days</v>
      </c>
    </row>
    <row r="53" spans="1:24">
      <c r="A53" s="1">
        <v>1</v>
      </c>
      <c r="B53" s="5" t="s">
        <v>258</v>
      </c>
      <c r="C53" s="6">
        <f>'PT ABC'!G$5</f>
        <v>7008750</v>
      </c>
      <c r="D53" s="5">
        <v>1000</v>
      </c>
      <c r="E53" s="5">
        <v>302</v>
      </c>
      <c r="F53" s="1">
        <f>'PT ABC'!M$5</f>
        <v>0</v>
      </c>
      <c r="G53" s="7" t="e">
        <f>IF(M53="","",'PT ABC'!#REF!)</f>
        <v>#REF!</v>
      </c>
      <c r="H53" s="8" t="s">
        <v>259</v>
      </c>
      <c r="I53" s="1" t="e">
        <f t="shared" si="0"/>
        <v>#REF!</v>
      </c>
      <c r="J53" s="1" t="s">
        <v>260</v>
      </c>
      <c r="K53" s="10">
        <v>417772</v>
      </c>
      <c r="L53" s="11" t="str">
        <f>F53&amp;'PT ABC'!O$5</f>
        <v>0</v>
      </c>
      <c r="M53" s="12" t="e">
        <f>IF(100000000-'PT ABC'!#REF!&gt;0,'PT ABC'!#REF!,"")</f>
        <v>#REF!</v>
      </c>
      <c r="N53" s="1" t="e">
        <f>IF(M53="","",'PT ABC'!#REF!)</f>
        <v>#REF!</v>
      </c>
      <c r="O53" s="13" t="e">
        <f>IF(M53="","",'PT ABC'!#REF!)</f>
        <v>#REF!</v>
      </c>
      <c r="P53" s="14" t="s">
        <v>261</v>
      </c>
      <c r="Q53" s="1" t="e">
        <f>IF(100000000-'PT ABC'!#REF!&lt;0,'PT ABC'!#REF!,"")</f>
        <v>#REF!</v>
      </c>
      <c r="R53" s="6" t="e">
        <f>IF(Q53="","",'PT ABC'!#REF!)</f>
        <v>#REF!</v>
      </c>
      <c r="S53" s="15" t="e">
        <f>IF(Q53="","",'PT ABC'!#REF!)</f>
        <v>#REF!</v>
      </c>
      <c r="T53" s="7" t="e">
        <f>'PT ABC'!#REF!</f>
        <v>#REF!</v>
      </c>
      <c r="U53" s="11"/>
      <c r="V53" s="11" t="str">
        <f>'PT ABC'!M$5&amp;"     "&amp;'PT ABC'!M$3</f>
        <v>     </v>
      </c>
      <c r="W53" s="11" t="str">
        <f>'PT ABC'!O$2</f>
        <v>Payment at :-</v>
      </c>
      <c r="X53" s="11" t="str">
        <f>'PT ABC'!M$2</f>
        <v>Within 15 days</v>
      </c>
    </row>
    <row r="54" spans="1:24">
      <c r="A54" s="1">
        <v>1</v>
      </c>
      <c r="B54" s="5" t="s">
        <v>258</v>
      </c>
      <c r="C54" s="6">
        <f>'PT ABC'!G$5</f>
        <v>7008750</v>
      </c>
      <c r="D54" s="5">
        <v>1000</v>
      </c>
      <c r="E54" s="5">
        <v>302</v>
      </c>
      <c r="F54" s="1">
        <f>'PT ABC'!M$5</f>
        <v>0</v>
      </c>
      <c r="G54" s="7" t="e">
        <f>IF(M54="","",'PT ABC'!#REF!)</f>
        <v>#REF!</v>
      </c>
      <c r="H54" s="8" t="s">
        <v>259</v>
      </c>
      <c r="I54" s="1" t="e">
        <f t="shared" si="0"/>
        <v>#REF!</v>
      </c>
      <c r="J54" s="1" t="s">
        <v>260</v>
      </c>
      <c r="K54" s="10">
        <v>417772</v>
      </c>
      <c r="L54" s="11" t="str">
        <f>F54&amp;'PT ABC'!O$5</f>
        <v>0</v>
      </c>
      <c r="M54" s="12" t="e">
        <f>IF(100000000-'PT ABC'!#REF!&gt;0,'PT ABC'!#REF!,"")</f>
        <v>#REF!</v>
      </c>
      <c r="N54" s="1" t="e">
        <f>IF(M54="","",'PT ABC'!#REF!)</f>
        <v>#REF!</v>
      </c>
      <c r="O54" s="13" t="e">
        <f>IF(M54="","",'PT ABC'!#REF!)</f>
        <v>#REF!</v>
      </c>
      <c r="P54" s="14" t="s">
        <v>261</v>
      </c>
      <c r="Q54" s="1" t="e">
        <f>IF(100000000-'PT ABC'!#REF!&lt;0,'PT ABC'!#REF!,"")</f>
        <v>#REF!</v>
      </c>
      <c r="R54" s="6" t="e">
        <f>IF(Q54="","",'PT ABC'!#REF!)</f>
        <v>#REF!</v>
      </c>
      <c r="S54" s="15" t="e">
        <f>IF(Q54="","",'PT ABC'!#REF!)</f>
        <v>#REF!</v>
      </c>
      <c r="T54" s="7" t="e">
        <f>'PT ABC'!#REF!</f>
        <v>#REF!</v>
      </c>
      <c r="U54" s="11"/>
      <c r="V54" s="11" t="str">
        <f>'PT ABC'!M$5&amp;"     "&amp;'PT ABC'!M$3</f>
        <v>     </v>
      </c>
      <c r="W54" s="11" t="str">
        <f>'PT ABC'!O$2</f>
        <v>Payment at :-</v>
      </c>
      <c r="X54" s="11" t="str">
        <f>'PT ABC'!M$2</f>
        <v>Within 15 days</v>
      </c>
    </row>
    <row r="55" spans="1:24">
      <c r="A55" s="1">
        <v>1</v>
      </c>
      <c r="B55" s="5" t="s">
        <v>258</v>
      </c>
      <c r="C55" s="6">
        <f>'PT ABC'!G$5</f>
        <v>7008750</v>
      </c>
      <c r="D55" s="5">
        <v>1000</v>
      </c>
      <c r="E55" s="5">
        <v>302</v>
      </c>
      <c r="F55" s="1">
        <f>'PT ABC'!M$5</f>
        <v>0</v>
      </c>
      <c r="G55" s="7">
        <f>IF(M55="","",'PT ABC'!I44)</f>
        <v>0</v>
      </c>
      <c r="H55" s="8" t="s">
        <v>259</v>
      </c>
      <c r="I55" s="1" t="str">
        <f t="shared" si="0"/>
        <v>D</v>
      </c>
      <c r="J55" s="1" t="s">
        <v>260</v>
      </c>
      <c r="K55" s="10">
        <v>417772</v>
      </c>
      <c r="L55" s="11" t="str">
        <f>F55&amp;'PT ABC'!O$5</f>
        <v>0</v>
      </c>
      <c r="M55" s="12">
        <f>IF(100000000-'PT ABC'!L44&gt;0,'PT ABC'!L44,"")</f>
        <v>0</v>
      </c>
      <c r="N55" s="1">
        <f>IF(M55="","",'PT ABC'!H44)</f>
        <v>0</v>
      </c>
      <c r="O55" s="13">
        <f>IF(M55="","",'PT ABC'!M44)</f>
        <v>0</v>
      </c>
      <c r="P55" s="14" t="s">
        <v>261</v>
      </c>
      <c r="Q55" s="1" t="str">
        <f>IF(100000000-'PT ABC'!L44&lt;0,'PT ABC'!L44,"")</f>
        <v/>
      </c>
      <c r="R55" s="6" t="str">
        <f>IF(Q55="","",'PT ABC'!H44)</f>
        <v/>
      </c>
      <c r="S55" s="15" t="str">
        <f>IF(Q55="","",'PT ABC'!M44)</f>
        <v/>
      </c>
      <c r="T55" s="7">
        <f>'PT ABC'!C44</f>
        <v>0</v>
      </c>
      <c r="U55" s="11"/>
      <c r="V55" s="11" t="str">
        <f>'PT ABC'!M$5&amp;"     "&amp;'PT ABC'!M$3</f>
        <v>     </v>
      </c>
      <c r="W55" s="11" t="str">
        <f>'PT ABC'!O$2</f>
        <v>Payment at :-</v>
      </c>
      <c r="X55" s="11" t="str">
        <f>'PT ABC'!M$2</f>
        <v>Within 15 days</v>
      </c>
    </row>
    <row r="56" spans="1:24">
      <c r="A56" s="1">
        <v>1</v>
      </c>
      <c r="B56" s="5" t="s">
        <v>258</v>
      </c>
      <c r="C56" s="6">
        <f>'PT ABC'!G$5</f>
        <v>7008750</v>
      </c>
      <c r="D56" s="5">
        <v>1000</v>
      </c>
      <c r="E56" s="5">
        <v>302</v>
      </c>
      <c r="F56" s="1">
        <f>'PT ABC'!M$5</f>
        <v>0</v>
      </c>
      <c r="G56" s="7">
        <f>IF(M56="","",'PT ABC'!I45)</f>
        <v>0</v>
      </c>
      <c r="H56" s="8" t="s">
        <v>259</v>
      </c>
      <c r="I56" s="1" t="str">
        <f t="shared" si="0"/>
        <v>D</v>
      </c>
      <c r="J56" s="1" t="s">
        <v>260</v>
      </c>
      <c r="K56" s="10">
        <v>417772</v>
      </c>
      <c r="L56" s="11" t="str">
        <f>F56&amp;'PT ABC'!O$5</f>
        <v>0</v>
      </c>
      <c r="M56" s="12">
        <f>IF(100000000-'PT ABC'!L45&gt;0,'PT ABC'!L45,"")</f>
        <v>0</v>
      </c>
      <c r="N56" s="1">
        <f>IF(M56="","",'PT ABC'!H45)</f>
        <v>0</v>
      </c>
      <c r="O56" s="13">
        <f>IF(M56="","",'PT ABC'!M45)</f>
        <v>0</v>
      </c>
      <c r="P56" s="14" t="s">
        <v>261</v>
      </c>
      <c r="Q56" s="1" t="str">
        <f>IF(100000000-'PT ABC'!L45&lt;0,'PT ABC'!L45,"")</f>
        <v/>
      </c>
      <c r="R56" s="6" t="str">
        <f>IF(Q56="","",'PT ABC'!H45)</f>
        <v/>
      </c>
      <c r="S56" s="15" t="str">
        <f>IF(Q56="","",'PT ABC'!M45)</f>
        <v/>
      </c>
      <c r="T56" s="7">
        <f>'PT ABC'!C45</f>
        <v>0</v>
      </c>
      <c r="U56" s="11"/>
      <c r="V56" s="11" t="str">
        <f>'PT ABC'!M$5&amp;"     "&amp;'PT ABC'!M$3</f>
        <v>     </v>
      </c>
      <c r="W56" s="11" t="str">
        <f>'PT ABC'!O$2</f>
        <v>Payment at :-</v>
      </c>
      <c r="X56" s="11" t="str">
        <f>'PT ABC'!M$2</f>
        <v>Within 15 days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4" master="" otherUserPermission="visible"/>
  <rangeList sheetStid="6" master="" otherUserPermission="visible"/>
  <rangeList sheetStid="7" master="" otherUserPermission="visible"/>
  <rangeList sheetStid="9" master="" otherUserPermission="visible"/>
  <rangeList sheetStid="8" master="" otherUserPermission="visible"/>
  <rangeList sheetStid="2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Article Master</vt:lpstr>
      <vt:lpstr>Sheet1</vt:lpstr>
      <vt:lpstr>Auto PO</vt:lpstr>
      <vt:lpstr>PIVOT</vt:lpstr>
      <vt:lpstr>Auto PO.</vt:lpstr>
      <vt:lpstr>Pivot.</vt:lpstr>
      <vt:lpstr>PT ABC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aakash.maheshwari</dc:creator>
  <cp:lastModifiedBy>Sai M</cp:lastModifiedBy>
  <dcterms:created xsi:type="dcterms:W3CDTF">2018-11-14T12:28:00Z</dcterms:created>
  <dcterms:modified xsi:type="dcterms:W3CDTF">2025-12-18T08:53:56Z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fc6767-3ab2-4b3b-a63f-7b2c7d47621d_Enabled">
    <vt:lpwstr>True</vt:lpwstr>
  </property>
  <property fmtid="{D5CDD505-2E9C-101B-9397-08002B2CF9AE}" pid="3" name="MSIP_Label_07fc6767-3ab2-4b3b-a63f-7b2c7d47621d_SiteId">
    <vt:lpwstr>d356af53-f35f-4eff-86e5-5c676313e4e4</vt:lpwstr>
  </property>
  <property fmtid="{D5CDD505-2E9C-101B-9397-08002B2CF9AE}" pid="4" name="MSIP_Label_07fc6767-3ab2-4b3b-a63f-7b2c7d47621d_Owner">
    <vt:lpwstr>aakash.maheshwari@abfrl.adityabirla.com</vt:lpwstr>
  </property>
  <property fmtid="{D5CDD505-2E9C-101B-9397-08002B2CF9AE}" pid="5" name="MSIP_Label_07fc6767-3ab2-4b3b-a63f-7b2c7d47621d_SetDate">
    <vt:lpwstr>2020-03-17T10:49:37.6726099Z</vt:lpwstr>
  </property>
  <property fmtid="{D5CDD505-2E9C-101B-9397-08002B2CF9AE}" pid="6" name="MSIP_Label_07fc6767-3ab2-4b3b-a63f-7b2c7d47621d_Name">
    <vt:lpwstr>Internal</vt:lpwstr>
  </property>
  <property fmtid="{D5CDD505-2E9C-101B-9397-08002B2CF9AE}" pid="7" name="MSIP_Label_07fc6767-3ab2-4b3b-a63f-7b2c7d47621d_Application">
    <vt:lpwstr>Microsoft Azure Information Protection</vt:lpwstr>
  </property>
  <property fmtid="{D5CDD505-2E9C-101B-9397-08002B2CF9AE}" pid="8" name="MSIP_Label_07fc6767-3ab2-4b3b-a63f-7b2c7d47621d_Extended_MSFT_Method">
    <vt:lpwstr>Automatic</vt:lpwstr>
  </property>
  <property fmtid="{D5CDD505-2E9C-101B-9397-08002B2CF9AE}" pid="9" name="Sensitivity">
    <vt:lpwstr>Internal</vt:lpwstr>
  </property>
  <property fmtid="{D5CDD505-2E9C-101B-9397-08002B2CF9AE}" pid="10" name="ICV">
    <vt:lpwstr>3C39F9BCE7D4990111734369D884705F_43</vt:lpwstr>
  </property>
  <property fmtid="{D5CDD505-2E9C-101B-9397-08002B2CF9AE}" pid="11" name="KSOProductBuildVer">
    <vt:lpwstr>1033-12.1.23152.23152</vt:lpwstr>
  </property>
</Properties>
</file>